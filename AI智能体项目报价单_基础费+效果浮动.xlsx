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报价单" sheetId="1" state="visible" r:id="rId1"/>
    <sheet xmlns:r="http://schemas.openxmlformats.org/officeDocument/2006/relationships" name="效果浮动" sheetId="2" state="visible" r:id="rId2"/>
    <sheet xmlns:r="http://schemas.openxmlformats.org/officeDocument/2006/relationships" name="交付清单" sheetId="3" state="visible" r:id="rId3"/>
    <sheet xmlns:r="http://schemas.openxmlformats.org/officeDocument/2006/relationships" name="参数" sheetId="4" state="visible" r:id="rId4"/>
    <sheet xmlns:r="http://schemas.openxmlformats.org/officeDocument/2006/relationships" name="成本测算" sheetId="5" state="visible" r:id="rId5"/>
  </sheets>
  <definedNames>
    <definedName name="_xlnm._FilterDatabase" localSheetId="2" hidden="1">'交付清单'!$A$4:$F$14</definedName>
  </definedNames>
  <calcPr calcId="124519" fullCalcOnLoad="1"/>
</workbook>
</file>

<file path=xl/styles.xml><?xml version="1.0" encoding="utf-8"?>
<styleSheet xmlns="http://schemas.openxmlformats.org/spreadsheetml/2006/main">
  <numFmts count="4">
    <numFmt numFmtId="164" formatCode="0.0%"/>
    <numFmt numFmtId="165" formatCode="¥#,##0"/>
    <numFmt numFmtId="166" formatCode="yyyy-mm-dd"/>
    <numFmt numFmtId="167" formatCode="YYYY-MM-DD"/>
  </numFmts>
  <fonts count="16">
    <font>
      <name val="Calibri"/>
      <family val="2"/>
      <color theme="1"/>
      <sz val="11"/>
      <scheme val="minor"/>
    </font>
    <font>
      <name val="微软雅黑"/>
      <b val="1"/>
      <color rgb="FF2F5597"/>
      <sz val="18"/>
    </font>
    <font>
      <name val="微软雅黑"/>
      <color rgb="FF595959"/>
      <sz val="9"/>
    </font>
    <font>
      <name val="微软雅黑"/>
      <b val="1"/>
      <color rgb="FFFFFFFF"/>
      <sz val="11"/>
    </font>
    <font>
      <name val="微软雅黑"/>
      <b val="1"/>
      <color rgb="FFFFFFFF"/>
      <sz val="10"/>
    </font>
    <font>
      <name val="微软雅黑"/>
      <color rgb="FF1A1A1A"/>
      <sz val="10"/>
    </font>
    <font>
      <name val="微软雅黑"/>
      <b val="1"/>
      <color rgb="FF1A1A1A"/>
      <sz val="10"/>
    </font>
    <font>
      <name val="微软雅黑"/>
      <b val="1"/>
      <color rgb="FF006100"/>
      <sz val="9"/>
    </font>
    <font>
      <name val="微软雅黑"/>
      <b val="1"/>
      <color rgb="FF2F5597"/>
      <sz val="10"/>
    </font>
    <font>
      <name val="微软雅黑"/>
      <b val="1"/>
      <color rgb="FF2F5597"/>
      <sz val="20"/>
    </font>
    <font>
      <name val="微软雅黑"/>
      <b val="1"/>
      <color rgb="FF2F5597"/>
      <sz val="12"/>
    </font>
    <font>
      <name val="微软雅黑"/>
      <b val="1"/>
      <color rgb="FF2F5597"/>
      <sz val="11"/>
    </font>
    <font>
      <name val="微软雅黑"/>
      <b val="1"/>
      <color rgb="FFFFFFFF"/>
      <sz val="12"/>
    </font>
    <font>
      <name val="微软雅黑"/>
      <b val="1"/>
      <color rgb="FFFFFFFF"/>
      <sz val="13"/>
    </font>
    <font>
      <name val="微软雅黑"/>
      <color rgb="FFFFFFFF"/>
      <sz val="9"/>
    </font>
    <font>
      <name val="微软雅黑"/>
      <b val="1"/>
      <color rgb="FF9C0006"/>
      <sz val="10"/>
    </font>
  </fonts>
  <fills count="9">
    <fill>
      <patternFill/>
    </fill>
    <fill>
      <patternFill patternType="gray125"/>
    </fill>
    <fill>
      <patternFill patternType="solid">
        <fgColor rgb="FF4472C4"/>
      </patternFill>
    </fill>
    <fill>
      <patternFill patternType="solid">
        <fgColor rgb="FF2F5597"/>
      </patternFill>
    </fill>
    <fill>
      <patternFill patternType="solid">
        <fgColor rgb="FFD9E2F3"/>
      </patternFill>
    </fill>
    <fill>
      <patternFill patternType="solid">
        <fgColor rgb="FFFFF2CC"/>
      </patternFill>
    </fill>
    <fill>
      <patternFill patternType="solid">
        <fgColor rgb="FFF2F2F2"/>
      </patternFill>
    </fill>
    <fill>
      <patternFill patternType="solid">
        <fgColor rgb="FFC6EFCE"/>
      </patternFill>
    </fill>
    <fill>
      <patternFill patternType="solid">
        <fgColor rgb="FFC00000"/>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2F5597"/>
      </top>
      <bottom style="thin">
        <color rgb="FFBFBFBF"/>
      </bottom>
    </border>
  </borders>
  <cellStyleXfs count="1">
    <xf numFmtId="0" fontId="0" fillId="0" borderId="0"/>
  </cellStyleXfs>
  <cellXfs count="56">
    <xf numFmtId="0" fontId="0" fillId="0" borderId="0" pivotButton="0" quotePrefix="0" xfId="0"/>
    <xf numFmtId="0" fontId="9" fillId="0" borderId="0" applyAlignment="1" pivotButton="0" quotePrefix="0" xfId="0">
      <alignment horizontal="center" vertical="center"/>
    </xf>
    <xf numFmtId="0" fontId="6" fillId="0" borderId="0" applyAlignment="1" pivotButton="0" quotePrefix="0" xfId="0">
      <alignment horizontal="right" vertical="center"/>
    </xf>
    <xf numFmtId="0" fontId="5" fillId="0" borderId="0" applyAlignment="1" pivotButton="0" quotePrefix="0" xfId="0">
      <alignment horizontal="left" vertical="center" wrapText="1"/>
    </xf>
    <xf numFmtId="167" fontId="5" fillId="0" borderId="0" applyAlignment="1" pivotButton="0" quotePrefix="0" xfId="0">
      <alignment horizontal="left" vertical="center" wrapText="1"/>
    </xf>
    <xf numFmtId="0" fontId="5" fillId="5" borderId="0" applyAlignment="1" pivotButton="0" quotePrefix="0" xfId="0">
      <alignment horizontal="left" vertical="center" wrapText="1"/>
    </xf>
    <xf numFmtId="0" fontId="3" fillId="2" borderId="0" applyAlignment="1" pivotButton="0" quotePrefix="0" xfId="0">
      <alignment horizontal="left"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165" fontId="5" fillId="0" borderId="1" applyAlignment="1" pivotButton="0" quotePrefix="0" xfId="0">
      <alignment horizontal="right" vertical="center"/>
    </xf>
    <xf numFmtId="0" fontId="2" fillId="0" borderId="1" applyAlignment="1" pivotButton="0" quotePrefix="0" xfId="0">
      <alignment horizontal="left" vertical="center" wrapText="1"/>
    </xf>
    <xf numFmtId="0" fontId="6" fillId="4" borderId="2" applyAlignment="1" pivotButton="0" quotePrefix="0" xfId="0">
      <alignment horizontal="right" vertical="center"/>
    </xf>
    <xf numFmtId="0" fontId="0" fillId="4" borderId="2" pivotButton="0" quotePrefix="0" xfId="0"/>
    <xf numFmtId="0" fontId="2" fillId="4" borderId="2" applyAlignment="1" pivotButton="0" quotePrefix="0" xfId="0">
      <alignment horizontal="center" vertical="center" wrapText="1"/>
    </xf>
    <xf numFmtId="165" fontId="10" fillId="4" borderId="2" applyAlignment="1" pivotButton="0" quotePrefix="0" xfId="0">
      <alignment horizontal="right" vertical="center"/>
    </xf>
    <xf numFmtId="164" fontId="6" fillId="4" borderId="1" applyAlignment="1" pivotButton="0" quotePrefix="0" xfId="0">
      <alignment horizontal="center" vertical="center" wrapText="1"/>
    </xf>
    <xf numFmtId="164" fontId="6" fillId="4" borderId="2" applyAlignment="1" pivotButton="0" quotePrefix="0" xfId="0">
      <alignment horizontal="center" vertical="center" wrapText="1"/>
    </xf>
    <xf numFmtId="165" fontId="11" fillId="4" borderId="2" applyAlignment="1" pivotButton="0" quotePrefix="0" xfId="0">
      <alignment horizontal="right" vertical="center"/>
    </xf>
    <xf numFmtId="0" fontId="2" fillId="4" borderId="2" applyAlignment="1" pivotButton="0" quotePrefix="0" xfId="0">
      <alignment horizontal="left" vertical="center" wrapText="1"/>
    </xf>
    <xf numFmtId="0" fontId="12" fillId="3" borderId="1" applyAlignment="1" pivotButton="0" quotePrefix="0" xfId="0">
      <alignment horizontal="right" vertical="center"/>
    </xf>
    <xf numFmtId="0" fontId="0" fillId="3" borderId="1" pivotButton="0" quotePrefix="0" xfId="0"/>
    <xf numFmtId="165" fontId="13" fillId="3" borderId="1" applyAlignment="1" pivotButton="0" quotePrefix="0" xfId="0">
      <alignment horizontal="right" vertical="center"/>
    </xf>
    <xf numFmtId="0" fontId="14" fillId="3" borderId="1" applyAlignment="1" pivotButton="0" quotePrefix="0" xfId="0">
      <alignment horizontal="left" vertical="center" wrapText="1"/>
    </xf>
    <xf numFmtId="0" fontId="5" fillId="5" borderId="1" applyAlignment="1" pivotButton="0" quotePrefix="0" xfId="0">
      <alignment horizontal="left" vertical="center" wrapText="1"/>
    </xf>
    <xf numFmtId="0" fontId="0" fillId="0" borderId="1" pivotButton="0" quotePrefix="0" xfId="0"/>
    <xf numFmtId="164" fontId="5" fillId="0" borderId="1" applyAlignment="1" pivotButton="0" quotePrefix="0" xfId="0">
      <alignment horizontal="center" vertical="center" wrapText="1"/>
    </xf>
    <xf numFmtId="0" fontId="6" fillId="0" borderId="1" applyAlignment="1" pivotButton="0" quotePrefix="0" xfId="0">
      <alignment vertical="center"/>
    </xf>
    <xf numFmtId="0" fontId="0" fillId="0" borderId="1" applyAlignment="1" pivotButton="0" quotePrefix="0" xfId="0">
      <alignment vertical="center"/>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164" fontId="5" fillId="5" borderId="1" applyAlignment="1" pivotButton="0" quotePrefix="0" xfId="0">
      <alignment horizontal="center" vertical="center" wrapText="1"/>
    </xf>
    <xf numFmtId="164" fontId="6" fillId="0"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0" borderId="1" applyAlignment="1" pivotButton="0" quotePrefix="0" xfId="0">
      <alignment horizontal="right" vertical="center"/>
    </xf>
    <xf numFmtId="0" fontId="3" fillId="8" borderId="0" applyAlignment="1" pivotButton="0" quotePrefix="0" xfId="0">
      <alignment horizontal="left" vertical="center" wrapText="1"/>
    </xf>
    <xf numFmtId="164" fontId="15" fillId="0" borderId="1" applyAlignment="1" pivotButton="0" quotePrefix="0" xfId="0">
      <alignment horizontal="center" vertical="center" wrapText="1"/>
    </xf>
    <xf numFmtId="0" fontId="2" fillId="5" borderId="0" applyAlignment="1" pivotButton="0" quotePrefix="0" xfId="0">
      <alignment horizontal="left" vertical="center" wrapText="1"/>
    </xf>
    <xf numFmtId="0" fontId="2"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4" borderId="1" applyAlignment="1" pivotButton="0" quotePrefix="0" xfId="0">
      <alignment horizontal="center" vertical="center" wrapText="1"/>
    </xf>
    <xf numFmtId="3" fontId="5" fillId="4"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6" borderId="1" pivotButton="0" quotePrefix="0" xfId="0"/>
    <xf numFmtId="165" fontId="5" fillId="4" borderId="1" applyAlignment="1" pivotButton="0" quotePrefix="0" xfId="0">
      <alignment horizontal="right" vertical="center"/>
    </xf>
    <xf numFmtId="3" fontId="6" fillId="4" borderId="2" applyAlignment="1" pivotButton="0" quotePrefix="0" xfId="0">
      <alignment horizontal="center" vertical="center" wrapText="1"/>
    </xf>
    <xf numFmtId="165" fontId="6" fillId="4" borderId="2" applyAlignment="1" pivotButton="0" quotePrefix="0" xfId="0">
      <alignment horizontal="right" vertical="center"/>
    </xf>
    <xf numFmtId="0" fontId="7" fillId="7" borderId="0" applyAlignment="1" pivotButton="0" quotePrefix="0" xfId="0">
      <alignment horizontal="left"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xf>
    <xf numFmtId="0" fontId="2" fillId="6" borderId="1" applyAlignment="1" pivotButton="0" quotePrefix="0" xfId="0">
      <alignment horizontal="left" vertical="center" wrapText="1"/>
    </xf>
    <xf numFmtId="165" fontId="6" fillId="6" borderId="1" applyAlignment="1" pivotButton="0" quotePrefix="0" xfId="0">
      <alignment horizontal="right" vertical="center"/>
    </xf>
    <xf numFmtId="0" fontId="6" fillId="6" borderId="1" applyAlignment="1" pivotButton="0" quotePrefix="0" xfId="0">
      <alignment horizontal="left" vertical="center" wrapText="1"/>
    </xf>
    <xf numFmtId="165" fontId="8" fillId="6" borderId="1" applyAlignment="1" pivotButton="0" quotePrefix="0" xfId="0">
      <alignment horizontal="right" vertical="center"/>
    </xf>
    <xf numFmtId="164" fontId="6" fillId="6" borderId="1" applyAlignment="1" pivotButton="0" quotePrefix="0" xfId="0">
      <alignment horizontal="right" vertical="center"/>
    </xf>
  </cellXfs>
  <cellStyles count="1">
    <cellStyle name="Normal" xfId="0" builtinId="0" hidden="0"/>
  </cellStyles>
  <dxfs count="2">
    <dxf>
      <font>
        <b val="1"/>
        <color rgb="FF006100"/>
      </font>
      <fill>
        <patternFill patternType="solid">
          <bgColor rgb="FFC6EFCE"/>
        </patternFill>
      </fill>
    </dxf>
    <dxf>
      <font>
        <b val="1"/>
        <color rgb="FF9C0006"/>
      </font>
      <fill>
        <patternFill patternType="solid">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00000"/>
    <outlinePr summaryBelow="1" summaryRight="1"/>
    <pageSetUpPr fitToPage="1"/>
  </sheetPr>
  <dimension ref="A1:F45"/>
  <sheetViews>
    <sheetView workbookViewId="0">
      <selection activeCell="A1" sqref="A1"/>
    </sheetView>
  </sheetViews>
  <sheetFormatPr baseColWidth="8" defaultRowHeight="15"/>
  <cols>
    <col width="6" customWidth="1" min="1" max="1"/>
    <col width="25" customWidth="1" min="2" max="2"/>
    <col width="50" customWidth="1" min="3" max="3"/>
    <col width="19" customWidth="1" min="4" max="4"/>
    <col width="16" customWidth="1" min="5" max="5"/>
    <col width="18" customWidth="1" min="6" max="6"/>
  </cols>
  <sheetData>
    <row r="1" ht="44" customHeight="1">
      <c r="A1" s="1" t="inlineStr">
        <is>
          <t>AI 智能体落地交付项目　报　价　单</t>
        </is>
      </c>
    </row>
    <row r="2" ht="18.5" customHeight="1">
      <c r="A2" s="2" t="inlineStr">
        <is>
          <t>报价编号</t>
        </is>
      </c>
      <c r="B2" s="3" t="inlineStr">
        <is>
          <t>QT-2026-1023-01</t>
        </is>
      </c>
      <c r="C2" s="2" t="inlineStr">
        <is>
          <t>报价日期</t>
        </is>
      </c>
      <c r="D2" s="4" t="n">
        <v>46318</v>
      </c>
      <c r="E2" s="2" t="inlineStr">
        <is>
          <t>有效期</t>
        </is>
      </c>
      <c r="F2" s="3" t="inlineStr">
        <is>
          <t>30 天</t>
        </is>
      </c>
    </row>
    <row r="3" ht="22" customHeight="1">
      <c r="A3" s="2" t="inlineStr">
        <is>
          <t>客户名称</t>
        </is>
      </c>
      <c r="B3" s="5" t="inlineStr">
        <is>
          <t>（甲方全称）</t>
        </is>
      </c>
      <c r="C3" s="2" t="inlineStr">
        <is>
          <t>项目名称</t>
        </is>
      </c>
      <c r="D3" s="5" t="inlineStr">
        <is>
          <t>（项目全称，与合同一致）</t>
        </is>
      </c>
    </row>
    <row r="4" ht="8" customHeight="1"/>
    <row r="5" ht="24" customHeight="1">
      <c r="A5" s="6" t="inlineStr">
        <is>
          <t>一、基础费　交付能力（九个成本科目逐项对应，均可核验）</t>
        </is>
      </c>
    </row>
    <row r="6" ht="26" customHeight="1">
      <c r="A6" s="7" t="inlineStr">
        <is>
          <t>序号</t>
        </is>
      </c>
      <c r="B6" s="7" t="inlineStr">
        <is>
          <t>报价条目</t>
        </is>
      </c>
      <c r="C6" s="7" t="inlineStr">
        <is>
          <t>交付内容与范围</t>
        </is>
      </c>
      <c r="D6" s="7" t="inlineStr">
        <is>
          <t>计价方式</t>
        </is>
      </c>
      <c r="E6" s="7" t="inlineStr">
        <is>
          <t>金额（元）</t>
        </is>
      </c>
      <c r="F6" s="7" t="inlineStr">
        <is>
          <t>备注</t>
        </is>
      </c>
    </row>
    <row r="7" ht="33" customHeight="1">
      <c r="A7" s="8" t="n">
        <v>1</v>
      </c>
      <c r="B7" s="9" t="inlineStr">
        <is>
          <t>售前调研与方案投入</t>
        </is>
      </c>
      <c r="C7" s="10" t="inlineStr">
        <is>
          <t>需求调研、方案与投标材料、POC 演示；含未中标情形的成本摊入</t>
        </is>
      </c>
      <c r="D7" s="8" t="inlineStr">
        <is>
          <t>一次性</t>
        </is>
      </c>
      <c r="E7" s="11">
        <f>'成本测算'!$G$24/(1-'参数'!$B$9)</f>
        <v>33040</v>
      </c>
      <c r="F7" s="12" t="inlineStr">
        <is>
          <t>不因中标结果单独计费</t>
        </is>
      </c>
    </row>
    <row r="8" ht="33" customHeight="1">
      <c r="A8" s="8" t="n">
        <v>2</v>
      </c>
      <c r="B8" s="9" t="inlineStr">
        <is>
          <t>现状诊断与场景梳理</t>
        </is>
      </c>
      <c r="C8" s="10" t="inlineStr">
        <is>
          <t>现有流程卡点诊断、AI 可落地场景筛选与优先级排序，输出场景清单</t>
        </is>
      </c>
      <c r="D8" s="8" t="inlineStr">
        <is>
          <t>一次性</t>
        </is>
      </c>
      <c r="E8" s="11">
        <f>'成本测算'!$G$25/(1-'参数'!$B$9)</f>
        <v>39648</v>
      </c>
      <c r="F8" s="12" t="inlineStr">
        <is>
          <t>定性结论亦计入交付物</t>
        </is>
      </c>
    </row>
    <row r="9" ht="33" customHeight="1">
      <c r="A9" s="8" t="n">
        <v>3</v>
      </c>
      <c r="B9" s="9" t="inlineStr">
        <is>
          <t>方案与架构设计</t>
        </is>
      </c>
      <c r="C9" s="10" t="inlineStr">
        <is>
          <t>技术选型、数据流设计、权限与安全架构、评测集（Golden Set）设计、验收标准定义</t>
        </is>
      </c>
      <c r="D9" s="8" t="inlineStr">
        <is>
          <t>一次性</t>
        </is>
      </c>
      <c r="E9" s="11">
        <f>'成本测算'!$G$26/(1-'参数'!$B$9)</f>
        <v>49560</v>
      </c>
      <c r="F9" s="12" t="inlineStr">
        <is>
          <t>验收标准的唯一来源</t>
        </is>
      </c>
    </row>
    <row r="10" ht="33" customHeight="1">
      <c r="A10" s="8" t="n">
        <v>4</v>
      </c>
      <c r="B10" s="9" t="inlineStr">
        <is>
          <t>数据与知识资产建设</t>
        </is>
      </c>
      <c r="C10" s="10" t="inlineStr">
        <is>
          <t>语料清洗与结构化、标注、权限梳理、检索切分与索引构建</t>
        </is>
      </c>
      <c r="D10" s="8" t="inlineStr">
        <is>
          <t>一次性</t>
        </is>
      </c>
      <c r="E10" s="11">
        <f>'成本测算'!$G$27/(1-'参数'!$B$9)</f>
        <v>81608.8</v>
      </c>
      <c r="F10" s="12" t="inlineStr">
        <is>
          <t>工作量波动最大项</t>
        </is>
      </c>
    </row>
    <row r="11" ht="33" customHeight="1">
      <c r="A11" s="8" t="n">
        <v>5</v>
      </c>
      <c r="B11" s="9" t="inlineStr">
        <is>
          <t>集成与工程实施</t>
        </is>
      </c>
      <c r="C11" s="10" t="inlineStr">
        <is>
          <t>与既有系统（ERP/MES/工单）对接、环境适配、私有化部署；含差旅驻场</t>
        </is>
      </c>
      <c r="D11" s="8" t="inlineStr">
        <is>
          <t>一次性</t>
        </is>
      </c>
      <c r="E11" s="11">
        <f>'成本测算'!$G$28/(1-'参数'!$B$9)</f>
        <v>135794.4</v>
      </c>
      <c r="F11" s="12" t="inlineStr">
        <is>
          <t>老系统对接成本最高</t>
        </is>
      </c>
    </row>
    <row r="12" ht="33" customHeight="1">
      <c r="A12" s="8" t="n">
        <v>6</v>
      </c>
      <c r="B12" s="9" t="inlineStr">
        <is>
          <t>评测与安全合规</t>
        </is>
      </c>
      <c r="C12" s="10" t="inlineStr">
        <is>
          <t>幻觉测试、越权与提示词注入测试、审计留痕、数据分级、密评/等保配合</t>
        </is>
      </c>
      <c r="D12" s="8" t="inlineStr">
        <is>
          <t>一次性</t>
        </is>
      </c>
      <c r="E12" s="11">
        <f>'成本测算'!$G$29/(1-'参数'!$B$9)</f>
        <v>39648</v>
      </c>
      <c r="F12" s="12" t="inlineStr">
        <is>
          <t>不可删项</t>
        </is>
      </c>
    </row>
    <row r="13" ht="33" customHeight="1">
      <c r="A13" s="8" t="n">
        <v>7</v>
      </c>
      <c r="B13" s="9" t="inlineStr">
        <is>
          <t>算力与模型调用</t>
        </is>
      </c>
      <c r="C13" s="10" t="inlineStr">
        <is>
          <t>推理 Token、向量库/检索服务、第三方 API（OCR/短信），试点期 6 个月</t>
        </is>
      </c>
      <c r="D13" s="8" t="inlineStr">
        <is>
          <t>按量预留</t>
        </is>
      </c>
      <c r="E13" s="11">
        <f>'成本测算'!$G$30/(1-'参数'!$B$9)</f>
        <v>34692</v>
      </c>
      <c r="F13" s="12" t="inlineStr">
        <is>
          <t>超出封顶需书面确认</t>
        </is>
      </c>
    </row>
    <row r="14" ht="33" customHeight="1">
      <c r="A14" s="8" t="n">
        <v>8</v>
      </c>
      <c r="B14" s="9" t="inlineStr">
        <is>
          <t>部署上线与培训</t>
        </is>
      </c>
      <c r="C14" s="10" t="inlineStr">
        <is>
          <t>生产环境发布、管理员与终端用户培训各 1 场、操作手册、应急预案</t>
        </is>
      </c>
      <c r="D14" s="8" t="inlineStr">
        <is>
          <t>一次性</t>
        </is>
      </c>
      <c r="E14" s="11">
        <f>'成本测算'!$G$31/(1-'参数'!$B$9)</f>
        <v>21145.6</v>
      </c>
      <c r="F14" s="12" t="inlineStr">
        <is>
          <t>含客户方适应成本</t>
        </is>
      </c>
    </row>
    <row r="15" ht="33" customHeight="1">
      <c r="A15" s="8" t="n">
        <v>9</v>
      </c>
      <c r="B15" s="9" t="inlineStr">
        <is>
          <t>运维与持续优化</t>
        </is>
      </c>
      <c r="C15" s="10" t="inlineStr">
        <is>
          <t>3 个月质保：监控告警、模型与 Prompt 迭代、故障响应（≤4 小时）</t>
        </is>
      </c>
      <c r="D15" s="8" t="inlineStr">
        <is>
          <t>季度</t>
        </is>
      </c>
      <c r="E15" s="11">
        <f>'成本测算'!$G$32/(1-'参数'!$B$9)</f>
        <v>26432</v>
      </c>
      <c r="F15" s="12" t="inlineStr">
        <is>
          <t>到期可续订</t>
        </is>
      </c>
    </row>
    <row r="16" ht="26" customHeight="1">
      <c r="A16" s="13" t="inlineStr">
        <is>
          <t>基础费小计（含保底毛利，非按人天计价）</t>
        </is>
      </c>
      <c r="B16" s="14" t="n"/>
      <c r="C16" s="14" t="n"/>
      <c r="D16" s="15" t="str">
        <f>"总投入 "&amp;'成本测算'!$D$20&amp;" 人天"</f>
        <v>总投入 118 人天</v>
      </c>
      <c r="E16" s="16">
        <f>SUM(E7:E15)</f>
        <v>461568.8</v>
      </c>
      <c r="F16" s="14" t="inlineStr"/>
    </row>
    <row r="17" ht="8" customHeight="1"/>
    <row r="18" ht="24" customHeight="1">
      <c r="A18" s="6" t="inlineStr">
        <is>
          <t>二、效果浮动　结果红利（公式事前写死，签约即锁定，详见《效果浮动》页）</t>
        </is>
      </c>
    </row>
    <row r="19" ht="26" customHeight="1">
      <c r="A19" s="7" t="inlineStr">
        <is>
          <t>序号</t>
        </is>
      </c>
      <c r="B19" s="7" t="inlineStr">
        <is>
          <t>浮动指标</t>
        </is>
      </c>
      <c r="C19" s="7" t="inlineStr">
        <is>
          <t>结算口径</t>
        </is>
      </c>
      <c r="D19" s="7" t="inlineStr">
        <is>
          <t>权重</t>
        </is>
      </c>
      <c r="E19" s="7" t="inlineStr">
        <is>
          <t>浮动上限（元）</t>
        </is>
      </c>
      <c r="F19" s="7" t="inlineStr">
        <is>
          <t>备注</t>
        </is>
      </c>
    </row>
    <row r="20" ht="33" customHeight="1">
      <c r="A20" s="8" t="n">
        <v>1</v>
      </c>
      <c r="B20" s="9" t="inlineStr">
        <is>
          <t>使用渗透率</t>
        </is>
      </c>
      <c r="C20" s="10" t="inlineStr">
        <is>
          <t>试点范围周活用户数 ÷ 目标用户数，反映「愿不愿意用」</t>
        </is>
      </c>
      <c r="D20" s="17" t="n">
        <v>0.3</v>
      </c>
      <c r="E20" s="11">
        <f>'成本测算'!$D$44*$D20</f>
        <v>46156.88</v>
      </c>
      <c r="F20" s="12" t="inlineStr">
        <is>
          <t>观察期月度均值</t>
        </is>
      </c>
    </row>
    <row r="21" ht="33" customHeight="1">
      <c r="A21" s="8" t="n">
        <v>2</v>
      </c>
      <c r="B21" s="9" t="inlineStr">
        <is>
          <t>自助闭环率</t>
        </is>
      </c>
      <c r="C21" s="10" t="inlineStr">
        <is>
          <t>未转人工且 24 小时内无重复追问的会话数 ÷ 总会话数，反映「用得成不成」</t>
        </is>
      </c>
      <c r="D21" s="17" t="n">
        <v>0.4</v>
      </c>
      <c r="E21" s="11">
        <f>'成本测算'!$D$44*$D21</f>
        <v>61542.50667</v>
      </c>
      <c r="F21" s="12" t="inlineStr">
        <is>
          <t>剔除故障时段</t>
        </is>
      </c>
    </row>
    <row r="22" ht="33" customHeight="1">
      <c r="A22" s="8" t="n">
        <v>3</v>
      </c>
      <c r="B22" s="9" t="inlineStr">
        <is>
          <t>关键流程替代率</t>
        </is>
      </c>
      <c r="C22" s="10" t="inlineStr">
        <is>
          <t>经助手完成并落库的设备申请/预约数 ÷ 该流程总申请数，反映「替不替代」</t>
        </is>
      </c>
      <c r="D22" s="17" t="n">
        <v>0.3</v>
      </c>
      <c r="E22" s="11">
        <f>'成本测算'!$D$44*$D22</f>
        <v>46156.88</v>
      </c>
      <c r="F22" s="12" t="inlineStr">
        <is>
          <t>以业务库来源字段统计</t>
        </is>
      </c>
    </row>
    <row r="23" ht="18.5" customHeight="1">
      <c r="A23" s="13" t="inlineStr">
        <is>
          <t>浮动池小计（低于起付线则为 0，不倒扣基础费）</t>
        </is>
      </c>
      <c r="B23" s="14" t="n"/>
      <c r="C23" s="14" t="n"/>
      <c r="D23" s="18">
        <f>SUM(D20:D22)</f>
        <v>1</v>
      </c>
      <c r="E23" s="19">
        <f>SUM(E20:E22)</f>
        <v>153856.2667</v>
      </c>
      <c r="F23" s="20" t="inlineStr">
        <is>
          <t>约占合同额 25%</t>
        </is>
      </c>
    </row>
    <row r="24" ht="30" customHeight="1">
      <c r="A24" s="21" t="inlineStr">
        <is>
          <t>合同金额上限（基础费 + 浮动池）</t>
        </is>
      </c>
      <c r="B24" s="22" t="n"/>
      <c r="C24" s="22" t="n"/>
      <c r="D24" s="22" t="n"/>
      <c r="E24" s="23">
        <f>E16+E23</f>
        <v>615425.0667</v>
      </c>
      <c r="F24" s="24" t="inlineStr">
        <is>
          <t>未含增值税</t>
        </is>
      </c>
    </row>
    <row r="25" ht="8" customHeight="1"/>
    <row r="26" ht="22" customHeight="1">
      <c r="A26" s="6" t="inlineStr">
        <is>
          <t>三、报价说明（建议原文写入合同）</t>
        </is>
      </c>
    </row>
    <row r="27" ht="30" customHeight="1">
      <c r="A27" s="25" t="inlineStr">
        <is>
          <t>1. 「人天仅为成本口径，不作为定价口径。」本单按交付范围与验收标准计价，不按工时结算；如需按工时结算，另签人天框架协议。</t>
        </is>
      </c>
      <c r="B27" s="26" t="n"/>
      <c r="C27" s="26" t="n"/>
      <c r="D27" s="26" t="n"/>
      <c r="E27" s="26" t="n"/>
      <c r="F27" s="26" t="n"/>
    </row>
    <row r="28" ht="33" customHeight="1">
      <c r="A28" s="25" t="inlineStr">
        <is>
          <t>2. 「范围以本单《交付清单》为准，清单外需求走变更流程。」变更须先评估工时与影响并书面留痕，累计变更金额超过合同额 20% 时触发合同复核。</t>
        </is>
      </c>
      <c r="B28" s="26" t="n"/>
      <c r="C28" s="26" t="n"/>
      <c r="D28" s="26" t="n"/>
      <c r="E28" s="26" t="n"/>
      <c r="F28" s="26" t="n"/>
    </row>
    <row r="29" ht="30" customHeight="1">
      <c r="A29" s="25" t="inlineStr">
        <is>
          <t>3. 「本报价已包含：售前调研、数据与知识资产建设、评测与安全合规、上线培训、质保期运维。」九个成本科目已逐条对应到上方条目，无隐含项。</t>
        </is>
      </c>
      <c r="B29" s="26" t="n"/>
      <c r="C29" s="26" t="n"/>
      <c r="D29" s="26" t="n"/>
      <c r="E29" s="26" t="n"/>
      <c r="F29" s="26" t="n"/>
    </row>
    <row r="30" ht="30" customHeight="1">
      <c r="A30" s="25" t="inlineStr">
        <is>
          <t>4. 「效果浮动公式、指标口径与数据来源在签约前书面确认，观察期内不得单方修改。」结算以双方共管看板数据为唯一依据。</t>
        </is>
      </c>
      <c r="B30" s="26" t="n"/>
      <c r="C30" s="26" t="n"/>
      <c r="D30" s="26" t="n"/>
      <c r="E30" s="26" t="n"/>
      <c r="F30" s="26" t="n"/>
    </row>
    <row r="31" ht="8" customHeight="1"/>
    <row r="32" ht="22" customHeight="1">
      <c r="A32" s="6" t="inlineStr">
        <is>
          <t>四、付款节点</t>
        </is>
      </c>
    </row>
    <row r="33" ht="18.5" customHeight="1">
      <c r="A33" s="7" t="inlineStr">
        <is>
          <t>节点</t>
        </is>
      </c>
      <c r="C33" s="7" t="inlineStr">
        <is>
          <t>触发条件</t>
        </is>
      </c>
      <c r="D33" s="7" t="inlineStr">
        <is>
          <t>比例</t>
        </is>
      </c>
      <c r="E33" s="7" t="inlineStr">
        <is>
          <t>金额（元）</t>
        </is>
      </c>
      <c r="F33" s="7" t="inlineStr">
        <is>
          <t>说明</t>
        </is>
      </c>
    </row>
    <row r="34" ht="33" customHeight="1">
      <c r="A34" s="9" t="inlineStr">
        <is>
          <t>首付款</t>
        </is>
      </c>
      <c r="B34" s="26" t="n"/>
      <c r="C34" s="10" t="inlineStr">
        <is>
          <t>合同签订并收到发票后 5 个工作日内</t>
        </is>
      </c>
      <c r="D34" s="27" t="n">
        <v>0.3</v>
      </c>
      <c r="E34" s="11">
        <f>$E$16*D34</f>
        <v>138470.64</v>
      </c>
      <c r="F34" s="12" t="inlineStr">
        <is>
          <t>覆盖售前与启动投入</t>
        </is>
      </c>
    </row>
    <row r="35" ht="33" customHeight="1">
      <c r="A35" s="9" t="inlineStr">
        <is>
          <t>上线款</t>
        </is>
      </c>
      <c r="B35" s="26" t="n"/>
      <c r="C35" s="10" t="inlineStr">
        <is>
          <t>UAT 通过并签署《上线验收单》后 10 个工作日内</t>
        </is>
      </c>
      <c r="D35" s="27" t="n">
        <v>0.4</v>
      </c>
      <c r="E35" s="11">
        <f>$E$16*D35</f>
        <v>184627.52</v>
      </c>
      <c r="F35" s="12" t="inlineStr">
        <is>
          <t>对应交付清单第 1–9 项</t>
        </is>
      </c>
    </row>
    <row r="36" ht="33" customHeight="1">
      <c r="A36" s="9" t="inlineStr">
        <is>
          <t>质保款</t>
        </is>
      </c>
      <c r="B36" s="26" t="n"/>
      <c r="C36" s="10" t="inlineStr">
        <is>
          <t>质保期满（上线后 3 个月）并签署《质保确认单》</t>
        </is>
      </c>
      <c r="D36" s="27" t="n">
        <v>0.3</v>
      </c>
      <c r="E36" s="11">
        <f>$E$16*D36</f>
        <v>138470.64</v>
      </c>
      <c r="F36" s="12" t="inlineStr">
        <is>
          <t>对应交付清单第 10 项</t>
        </is>
      </c>
    </row>
    <row r="37" ht="33" customHeight="1">
      <c r="A37" s="9" t="inlineStr">
        <is>
          <t>效果结算款</t>
        </is>
      </c>
      <c r="B37" s="26" t="n"/>
      <c r="C37" s="10" t="inlineStr">
        <is>
          <t>观察期（6 个月）结束后 15 个工作日内按公式结算</t>
        </is>
      </c>
      <c r="D37" s="27" t="inlineStr">
        <is>
          <t>—</t>
        </is>
      </c>
      <c r="E37" s="11">
        <f>$E$23</f>
        <v>153856.2667</v>
      </c>
      <c r="F37" s="12" t="inlineStr">
        <is>
          <t>0 ～ 上限，见《效果浮动》页</t>
        </is>
      </c>
    </row>
    <row r="38" ht="18.5" customHeight="1">
      <c r="A38" s="13" t="inlineStr">
        <is>
          <t>合计（基础费 100%，浮动另计）</t>
        </is>
      </c>
      <c r="B38" s="14" t="n"/>
      <c r="C38" s="20" t="inlineStr">
        <is>
          <t>详见合同付款条款</t>
        </is>
      </c>
      <c r="D38" s="18">
        <f>SUM(D34:D36)</f>
        <v>1</v>
      </c>
      <c r="E38" s="19">
        <f>SUM(E34:E37)</f>
        <v>615425.0667</v>
      </c>
      <c r="F38" s="20" t="inlineStr">
        <is>
          <t>0 ～ 上限区间</t>
        </is>
      </c>
    </row>
    <row r="39" ht="10" customHeight="1"/>
    <row r="40" ht="22" customHeight="1">
      <c r="A40" s="6" t="inlineStr">
        <is>
          <t>五、签署</t>
        </is>
      </c>
    </row>
    <row r="41" ht="34" customHeight="1">
      <c r="A41" s="28" t="inlineStr">
        <is>
          <t>甲方（盖章）</t>
        </is>
      </c>
      <c r="B41" s="29" t="n"/>
      <c r="C41" s="29" t="n"/>
      <c r="D41" s="29" t="n"/>
      <c r="E41" s="29" t="n"/>
      <c r="F41" s="29" t="n"/>
    </row>
    <row r="42" ht="34" customHeight="1">
      <c r="A42" s="28" t="inlineStr">
        <is>
          <t>乙方（盖章）</t>
        </is>
      </c>
      <c r="B42" s="29" t="n"/>
      <c r="C42" s="29" t="n"/>
      <c r="D42" s="29" t="n"/>
      <c r="E42" s="29" t="n"/>
      <c r="F42" s="29" t="n"/>
    </row>
    <row r="43" ht="34" customHeight="1">
      <c r="A43" s="28" t="inlineStr">
        <is>
          <t>签署日期</t>
        </is>
      </c>
      <c r="B43" s="29" t="n"/>
      <c r="C43" s="29" t="n"/>
      <c r="D43" s="29" t="n"/>
      <c r="E43" s="29" t="n"/>
      <c r="F43" s="29" t="n"/>
    </row>
    <row r="44"/>
    <row r="45" ht="33" customHeight="1">
      <c r="A45" s="30" t="inlineStr">
        <is>
          <t>备注：本报价未含增值税，税率按国家规定另计；如涉及私有化部署所需的 GPU 服务器、网络与机房资源，由甲方提供或另行报价；本报价自出具日起 30 天内有效。</t>
        </is>
      </c>
    </row>
  </sheetData>
  <mergeCells count="27">
    <mergeCell ref="A27:F27"/>
    <mergeCell ref="A36:B36"/>
    <mergeCell ref="A18:F18"/>
    <mergeCell ref="A26:F26"/>
    <mergeCell ref="A23:C23"/>
    <mergeCell ref="A41:B41"/>
    <mergeCell ref="A5:F5"/>
    <mergeCell ref="A32:F32"/>
    <mergeCell ref="A37:B37"/>
    <mergeCell ref="D3:F3"/>
    <mergeCell ref="A24:D24"/>
    <mergeCell ref="C42:F42"/>
    <mergeCell ref="A29:F29"/>
    <mergeCell ref="A28:F28"/>
    <mergeCell ref="A33:B33"/>
    <mergeCell ref="A42:B42"/>
    <mergeCell ref="A40:F40"/>
    <mergeCell ref="C41:F41"/>
    <mergeCell ref="A30:F30"/>
    <mergeCell ref="A35:B35"/>
    <mergeCell ref="A38:B38"/>
    <mergeCell ref="A43:B43"/>
    <mergeCell ref="A1:F1"/>
    <mergeCell ref="C43:F43"/>
    <mergeCell ref="A45:F45"/>
    <mergeCell ref="A16:C16"/>
    <mergeCell ref="A34:B34"/>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FFED7D31"/>
    <outlinePr summaryBelow="1" summaryRight="1"/>
    <pageSetUpPr fitToPage="1"/>
  </sheetPr>
  <dimension ref="A1:K42"/>
  <sheetViews>
    <sheetView workbookViewId="0">
      <selection activeCell="A1" sqref="A1"/>
    </sheetView>
  </sheetViews>
  <sheetFormatPr baseColWidth="8" defaultRowHeight="15"/>
  <cols>
    <col width="6" customWidth="1" min="1" max="1"/>
    <col width="20" customWidth="1" min="2" max="2"/>
    <col width="40" customWidth="1" min="3" max="3"/>
    <col width="24" customWidth="1" min="4" max="4"/>
    <col width="10" customWidth="1" min="5" max="5"/>
    <col width="10" customWidth="1" min="6" max="6"/>
    <col width="10" customWidth="1" min="7" max="7"/>
    <col width="10" customWidth="1" min="8" max="8"/>
    <col width="10" customWidth="1" min="9" max="9"/>
    <col width="9" customWidth="1" min="10" max="10"/>
    <col width="15" customWidth="1" min="11" max="11"/>
  </cols>
  <sheetData>
    <row r="1" ht="32" customHeight="1">
      <c r="A1" s="31" t="inlineStr">
        <is>
          <t>效果浮动条款 — 结算口径与公式（作为合同附件签署）</t>
        </is>
      </c>
    </row>
    <row r="2" ht="18.5" customHeight="1">
      <c r="A2" s="30" t="inlineStr">
        <is>
          <t>浮动池上限、起付线与封顶线均取自「参数」页；本页公式为结算唯一口径，签约后不得单方修改。</t>
        </is>
      </c>
    </row>
    <row r="3"/>
    <row r="4" ht="22" customHeight="1">
      <c r="A4" s="6" t="inlineStr">
        <is>
          <t>一、浮动指标（权重合计 100%，三项分别计算，互不抵扣）</t>
        </is>
      </c>
    </row>
    <row r="5" ht="30" customHeight="1">
      <c r="A5" s="7" t="inlineStr">
        <is>
          <t>序号</t>
        </is>
      </c>
      <c r="B5" s="7" t="inlineStr">
        <is>
          <t>浮动指标</t>
        </is>
      </c>
      <c r="C5" s="7" t="inlineStr">
        <is>
          <t>定义与计算口径</t>
        </is>
      </c>
      <c r="D5" s="7" t="inlineStr">
        <is>
          <t>数据来源</t>
        </is>
      </c>
      <c r="E5" s="7" t="inlineStr">
        <is>
          <t>基线值</t>
        </is>
      </c>
      <c r="F5" s="7" t="inlineStr">
        <is>
          <t>目标值</t>
        </is>
      </c>
      <c r="G5" s="7" t="inlineStr">
        <is>
          <t>实际值</t>
        </is>
      </c>
      <c r="H5" s="7" t="inlineStr">
        <is>
          <t>达成率</t>
        </is>
      </c>
      <c r="I5" s="7" t="inlineStr">
        <is>
          <t>计费系数</t>
        </is>
      </c>
      <c r="J5" s="7" t="inlineStr">
        <is>
          <t>权重</t>
        </is>
      </c>
      <c r="K5" s="7" t="inlineStr">
        <is>
          <t>浮动金额（元）</t>
        </is>
      </c>
    </row>
    <row r="6" ht="33" customHeight="1">
      <c r="A6" s="8" t="n">
        <v>1</v>
      </c>
      <c r="B6" s="9" t="inlineStr">
        <is>
          <t>使用渗透率</t>
        </is>
      </c>
      <c r="C6" s="10" t="inlineStr">
        <is>
          <t>观察期内周活用户数的月度均值 ÷ 试点范围目标用户数</t>
        </is>
      </c>
      <c r="D6" s="12" t="inlineStr">
        <is>
          <t>系统埋点（登录 + 有效会话）</t>
        </is>
      </c>
      <c r="E6" s="27" t="n">
        <v>0</v>
      </c>
      <c r="F6" s="17" t="n">
        <v>0.6</v>
      </c>
      <c r="G6" s="32" t="n"/>
      <c r="H6" s="33" t="str">
        <f>IF(OR($F6="",$F6=0,$G6=""),"",$G6/$F6)</f>
        <v/>
      </c>
      <c r="I6" s="34">
        <f>IF($H6="",0,MEDIAN(0,($H6-'参数'!$B$12)/('参数'!$B$13-'参数'!$B$12),1))</f>
        <v>0</v>
      </c>
      <c r="J6" s="17" t="n">
        <v>0.3</v>
      </c>
      <c r="K6" s="35">
        <f>IF($J6="",0,'成本测算'!$D$44*$J6*$I6)</f>
        <v>0</v>
      </c>
    </row>
    <row r="7" ht="33" customHeight="1">
      <c r="A7" s="8" t="n">
        <v>2</v>
      </c>
      <c r="B7" s="9" t="inlineStr">
        <is>
          <t>自助闭环率</t>
        </is>
      </c>
      <c r="C7" s="10" t="inlineStr">
        <is>
          <t>未转人工、且 24 小时内无重复追问的会话数 ÷ 总会话数</t>
        </is>
      </c>
      <c r="D7" s="12" t="inlineStr">
        <is>
          <t>会话日志 + 转人工标记</t>
        </is>
      </c>
      <c r="E7" s="27" t="n">
        <v>0</v>
      </c>
      <c r="F7" s="17" t="n">
        <v>0.75</v>
      </c>
      <c r="G7" s="32" t="n"/>
      <c r="H7" s="33" t="str">
        <f>IF(OR($F7="",$F7=0,$G7=""),"",$G7/$F7)</f>
        <v/>
      </c>
      <c r="I7" s="34">
        <f>IF($H7="",0,MEDIAN(0,($H7-'参数'!$B$12)/('参数'!$B$13-'参数'!$B$12),1))</f>
        <v>0</v>
      </c>
      <c r="J7" s="17" t="n">
        <v>0.4</v>
      </c>
      <c r="K7" s="35">
        <f>IF($J7="",0,'成本测算'!$D$44*$J7*$I7)</f>
        <v>0</v>
      </c>
    </row>
    <row r="8" ht="33" customHeight="1">
      <c r="A8" s="8" t="n">
        <v>3</v>
      </c>
      <c r="B8" s="9" t="inlineStr">
        <is>
          <t>关键流程替代率</t>
        </is>
      </c>
      <c r="C8" s="10" t="inlineStr">
        <is>
          <t>经助手完成并成功落库的设备申请/预约数 ÷ 该流程总申请数</t>
        </is>
      </c>
      <c r="D8" s="12" t="inlineStr">
        <is>
          <t>业务库申请表来源字段</t>
        </is>
      </c>
      <c r="E8" s="27" t="n">
        <v>0</v>
      </c>
      <c r="F8" s="17" t="n">
        <v>0.4</v>
      </c>
      <c r="G8" s="32" t="n"/>
      <c r="H8" s="33" t="str">
        <f>IF(OR($F8="",$F8=0,$G8=""),"",$G8/$F8)</f>
        <v/>
      </c>
      <c r="I8" s="34">
        <f>IF($H8="",0,MEDIAN(0,($H8-'参数'!$B$12)/('参数'!$B$13-'参数'!$B$12),1))</f>
        <v>0</v>
      </c>
      <c r="J8" s="17" t="n">
        <v>0.3</v>
      </c>
      <c r="K8" s="35">
        <f>IF($J8="",0,'成本测算'!$D$44*$J8*$I8)</f>
        <v>0</v>
      </c>
    </row>
    <row r="9">
      <c r="A9" s="13" t="inlineStr">
        <is>
          <t>合计（实际值待观察期结束后填写）</t>
        </is>
      </c>
      <c r="B9" s="14" t="n"/>
      <c r="C9" s="14" t="n"/>
      <c r="D9" s="14" t="n"/>
      <c r="E9" s="14" t="inlineStr"/>
      <c r="F9" s="14" t="n"/>
      <c r="G9" s="14" t="n"/>
      <c r="H9" s="14" t="n"/>
      <c r="I9" s="14" t="n"/>
      <c r="J9" s="18">
        <f>SUM(J6:J8)</f>
        <v>1</v>
      </c>
      <c r="K9" s="19">
        <f>SUM(K6:K8)</f>
        <v>0</v>
      </c>
    </row>
    <row r="10" ht="22" customHeight="1">
      <c r="A10" s="30" t="inlineStr">
        <is>
          <t>计费系数 = MEDIAN(0,(达成率 − 起付线) ÷ (封顶线 − 起付线),1)；达成率 = 实际值 ÷ 目标值。三项指标独立结算后加总，总额不超过浮动池上限。</t>
        </is>
      </c>
    </row>
    <row r="11"/>
    <row r="12" ht="22" customHeight="1">
      <c r="A12" s="36" t="inlineStr">
        <is>
          <t>二、红线项（不达标从基础费扣减，与浮动池独立计算）</t>
        </is>
      </c>
    </row>
    <row r="13" ht="33" customHeight="1">
      <c r="A13" s="7" t="inlineStr">
        <is>
          <t>序号</t>
        </is>
      </c>
      <c r="B13" s="7" t="inlineStr">
        <is>
          <t>红线项</t>
        </is>
      </c>
      <c r="C13" s="7" t="inlineStr">
        <is>
          <t>达标标准</t>
        </is>
      </c>
      <c r="D13" s="7" t="inlineStr">
        <is>
          <t>检测方式</t>
        </is>
      </c>
      <c r="E13" s="7" t="inlineStr">
        <is>
          <t>未达标扣款</t>
        </is>
      </c>
      <c r="F13" s="7" t="inlineStr">
        <is>
          <t>说明</t>
        </is>
      </c>
    </row>
    <row r="14" ht="33" customHeight="1">
      <c r="A14" s="8" t="n">
        <v>1</v>
      </c>
      <c r="B14" s="9" t="inlineStr">
        <is>
          <t>越权访问拦截</t>
        </is>
      </c>
      <c r="C14" s="10" t="inlineStr">
        <is>
          <t>100%：任何一次跨用户数据可见即判定不达标</t>
        </is>
      </c>
      <c r="D14" s="10" t="inlineStr">
        <is>
          <t>每季度抽样 30 次跨账号越权尝试</t>
        </is>
      </c>
      <c r="E14" s="37" t="n">
        <v>0.1</v>
      </c>
      <c r="F14" s="12" t="inlineStr">
        <is>
          <t>最严重的一项，直接触及数据合规底线</t>
        </is>
      </c>
      <c r="G14" s="26" t="n"/>
      <c r="H14" s="26" t="n"/>
      <c r="I14" s="26" t="n"/>
      <c r="J14" s="26" t="n"/>
      <c r="K14" s="26" t="n"/>
    </row>
    <row r="15" ht="33" customHeight="1">
      <c r="A15" s="8" t="n">
        <v>2</v>
      </c>
      <c r="B15" s="9" t="inlineStr">
        <is>
          <t>事实错误率</t>
        </is>
      </c>
      <c r="C15" s="10" t="inlineStr">
        <is>
          <t>≤ 2%：抽检 200 条回答，事实性错误不超过 4 条</t>
        </is>
      </c>
      <c r="D15" s="10" t="inlineStr">
        <is>
          <t>双方各独立抽检 100 条并交叉复核</t>
        </is>
      </c>
      <c r="E15" s="37" t="n">
        <v>0.05</v>
      </c>
      <c r="F15" s="12" t="inlineStr">
        <is>
          <t>误命中、编造库存/工号均计入</t>
        </is>
      </c>
      <c r="G15" s="26" t="n"/>
      <c r="H15" s="26" t="n"/>
      <c r="I15" s="26" t="n"/>
      <c r="J15" s="26" t="n"/>
      <c r="K15" s="26" t="n"/>
    </row>
    <row r="16" ht="33" customHeight="1">
      <c r="A16" s="8" t="n">
        <v>3</v>
      </c>
      <c r="B16" s="9" t="inlineStr">
        <is>
          <t>高危指令拦截</t>
        </is>
      </c>
      <c r="C16" s="10" t="inlineStr">
        <is>
          <t>100%：诱导越权或绕过确认直接写库的指令必须全拦截</t>
        </is>
      </c>
      <c r="D16" s="10" t="inlineStr">
        <is>
          <t>注入用例库 ≥ 30 条，每次迭代回归</t>
        </is>
      </c>
      <c r="E16" s="37" t="n">
        <v>0.05</v>
      </c>
      <c r="F16" s="12" t="inlineStr">
        <is>
          <t>含「别走草稿直接提交」类诱导</t>
        </is>
      </c>
      <c r="G16" s="26" t="n"/>
      <c r="H16" s="26" t="n"/>
      <c r="I16" s="26" t="n"/>
      <c r="J16" s="26" t="n"/>
      <c r="K16" s="26" t="n"/>
    </row>
    <row r="17" ht="33" customHeight="1">
      <c r="A17" s="8" t="n">
        <v>4</v>
      </c>
      <c r="B17" s="9" t="inlineStr">
        <is>
          <t>服务可用性</t>
        </is>
      </c>
      <c r="C17" s="10" t="inlineStr">
        <is>
          <t>≥ 99.5%：连续 3 日低于阈值即触发</t>
        </is>
      </c>
      <c r="D17" s="10" t="inlineStr">
        <is>
          <t>监控系统月度统计，剔除计划内停机</t>
        </is>
      </c>
      <c r="E17" s="37" t="n">
        <v>0.05</v>
      </c>
      <c r="F17" s="12" t="inlineStr">
        <is>
          <t>不含乙方提前 48 小时公告的维护窗口</t>
        </is>
      </c>
      <c r="G17" s="26" t="n"/>
      <c r="H17" s="26" t="n"/>
      <c r="I17" s="26" t="n"/>
      <c r="J17" s="26" t="n"/>
      <c r="K17" s="26" t="n"/>
    </row>
    <row r="18" ht="24" customHeight="1">
      <c r="A18" s="38" t="inlineStr">
        <is>
          <t>红线扣款按基础费比例计，累计不超过基础费的 20%；触发扣款不免除乙方继续交付与整改的义务，整改期最长 30 日，逾期按合同违约条款处理。</t>
        </is>
      </c>
    </row>
    <row r="19"/>
    <row r="20" ht="22" customHeight="1">
      <c r="A20" s="6" t="inlineStr">
        <is>
          <t>三、浮动结算阶梯（客户可自行代入，算不出数的计价方式在 AI 时代一定会被压价）</t>
        </is>
      </c>
    </row>
    <row r="21" ht="33" customHeight="1">
      <c r="A21" s="7" t="inlineStr">
        <is>
          <t>达成率</t>
        </is>
      </c>
      <c r="B21" s="7" t="inlineStr">
        <is>
          <t>计费系数</t>
        </is>
      </c>
      <c r="C21" s="7" t="inlineStr">
        <is>
          <t>结算金额（元）</t>
        </is>
      </c>
      <c r="D21" s="7" t="inlineStr">
        <is>
          <t>说明</t>
        </is>
      </c>
    </row>
    <row r="22" ht="18.5" customHeight="1">
      <c r="A22" s="17" t="n">
        <v>0.7</v>
      </c>
      <c r="B22" s="27">
        <f>MEDIAN(0,($A22-'参数'!$B$12)/('参数'!$B$13-'参数'!$B$12),1)</f>
        <v>0</v>
      </c>
      <c r="C22" s="35">
        <f>'成本测算'!$D$44*$B22</f>
        <v>0</v>
      </c>
      <c r="D22" s="12" t="inlineStr">
        <is>
          <t>起付线：浮动为 0，仅结算基础费</t>
        </is>
      </c>
      <c r="E22" s="26" t="n"/>
      <c r="F22" s="26" t="n"/>
      <c r="G22" s="26" t="n"/>
      <c r="H22" s="26" t="n"/>
      <c r="I22" s="26" t="n"/>
      <c r="J22" s="26" t="n"/>
      <c r="K22" s="26" t="n"/>
    </row>
    <row r="23" ht="18.5" customHeight="1">
      <c r="A23" s="17" t="n">
        <v>0.8</v>
      </c>
      <c r="B23" s="27">
        <f>MEDIAN(0,($A23-'参数'!$B$12)/('参数'!$B$13-'参数'!$B$12),1)</f>
        <v>0.2</v>
      </c>
      <c r="C23" s="35">
        <f>'成本测算'!$D$44*$B23</f>
        <v>30771.25333</v>
      </c>
      <c r="D23" s="12" t="inlineStr">
        <is>
          <t>拿到浮动池的 20%</t>
        </is>
      </c>
      <c r="E23" s="26" t="n"/>
      <c r="F23" s="26" t="n"/>
      <c r="G23" s="26" t="n"/>
      <c r="H23" s="26" t="n"/>
      <c r="I23" s="26" t="n"/>
      <c r="J23" s="26" t="n"/>
      <c r="K23" s="26" t="n"/>
    </row>
    <row r="24" ht="18.5" customHeight="1">
      <c r="A24" s="17" t="n">
        <v>0.9</v>
      </c>
      <c r="B24" s="27">
        <f>MEDIAN(0,($A24-'参数'!$B$12)/('参数'!$B$13-'参数'!$B$12),1)</f>
        <v>0.4</v>
      </c>
      <c r="C24" s="35">
        <f>'成本测算'!$D$44*$B24</f>
        <v>61542.50667</v>
      </c>
      <c r="D24" s="12" t="inlineStr">
        <is>
          <t>拿到浮动池的 40%</t>
        </is>
      </c>
      <c r="E24" s="26" t="n"/>
      <c r="F24" s="26" t="n"/>
      <c r="G24" s="26" t="n"/>
      <c r="H24" s="26" t="n"/>
      <c r="I24" s="26" t="n"/>
      <c r="J24" s="26" t="n"/>
      <c r="K24" s="26" t="n"/>
    </row>
    <row r="25" ht="18.5" customHeight="1">
      <c r="A25" s="17" t="n">
        <v>1</v>
      </c>
      <c r="B25" s="27">
        <f>MEDIAN(0,($A25-'参数'!$B$12)/('参数'!$B$13-'参数'!$B$12),1)</f>
        <v>0.6</v>
      </c>
      <c r="C25" s="35">
        <f>'成本测算'!$D$44*$B25</f>
        <v>92313.76</v>
      </c>
      <c r="D25" s="12" t="inlineStr">
        <is>
          <t>达到承诺目标，拿到浮动池的 60%</t>
        </is>
      </c>
      <c r="E25" s="26" t="n"/>
      <c r="F25" s="26" t="n"/>
      <c r="G25" s="26" t="n"/>
      <c r="H25" s="26" t="n"/>
      <c r="I25" s="26" t="n"/>
      <c r="J25" s="26" t="n"/>
      <c r="K25" s="26" t="n"/>
    </row>
    <row r="26" ht="18.5" customHeight="1">
      <c r="A26" s="17" t="n">
        <v>1.1</v>
      </c>
      <c r="B26" s="27">
        <f>MEDIAN(0,($A26-'参数'!$B$12)/('参数'!$B$13-'参数'!$B$12),1)</f>
        <v>0.8</v>
      </c>
      <c r="C26" s="35">
        <f>'成本测算'!$D$44*$B26</f>
        <v>123085.0133</v>
      </c>
      <c r="D26" s="12" t="inlineStr">
        <is>
          <t>拿到浮动池的 80%</t>
        </is>
      </c>
      <c r="E26" s="26" t="n"/>
      <c r="F26" s="26" t="n"/>
      <c r="G26" s="26" t="n"/>
      <c r="H26" s="26" t="n"/>
      <c r="I26" s="26" t="n"/>
      <c r="J26" s="26" t="n"/>
      <c r="K26" s="26" t="n"/>
    </row>
    <row r="27" ht="18.5" customHeight="1">
      <c r="A27" s="17" t="n">
        <v>1.2</v>
      </c>
      <c r="B27" s="27">
        <f>MEDIAN(0,($A27-'参数'!$B$12)/('参数'!$B$13-'参数'!$B$12),1)</f>
        <v>1</v>
      </c>
      <c r="C27" s="35">
        <f>'成本测算'!$D$44*$B27</f>
        <v>153856.2667</v>
      </c>
      <c r="D27" s="12" t="inlineStr">
        <is>
          <t>封顶线：拿满浮动池 100%</t>
        </is>
      </c>
      <c r="E27" s="26" t="n"/>
      <c r="F27" s="26" t="n"/>
      <c r="G27" s="26" t="n"/>
      <c r="H27" s="26" t="n"/>
      <c r="I27" s="26" t="n"/>
      <c r="J27" s="26" t="n"/>
      <c r="K27" s="26" t="n"/>
    </row>
    <row r="28" ht="20" customHeight="1">
      <c r="A28" s="30" t="inlineStr">
        <is>
          <t>本表按「三项指标达成率一致」示例；实际结算时逐项代入第 6:8 行，加总后与上表同口径。</t>
        </is>
      </c>
    </row>
    <row r="29"/>
    <row r="30" ht="22" customHeight="1">
      <c r="A30" s="6" t="inlineStr">
        <is>
          <t>四、结算规则（建议原文写入合同附件）</t>
        </is>
      </c>
    </row>
    <row r="31" ht="30" customHeight="1">
      <c r="A31" s="10" t="inlineStr">
        <is>
          <t>1. 结算周期：系统上线并完成 UAT 验收之日起 6 个自然月为效果观察期；观察期结束后 15 个工作日内完成结算，随最后一期款项支付。</t>
        </is>
      </c>
      <c r="B31" s="26" t="n"/>
      <c r="C31" s="26" t="n"/>
      <c r="D31" s="26" t="n"/>
      <c r="E31" s="26" t="n"/>
      <c r="F31" s="26" t="n"/>
      <c r="G31" s="26" t="n"/>
      <c r="H31" s="26" t="n"/>
      <c r="I31" s="26" t="n"/>
      <c r="J31" s="26" t="n"/>
      <c r="K31" s="26" t="n"/>
    </row>
    <row r="32" ht="30" customHeight="1">
      <c r="A32" s="10" t="inlineStr">
        <is>
          <t>2. 数据来源：三项指标均由系统埋点自动统计；数据所有权归甲方，乙方拥有读取权限；观察期内双方共管同一块数据看板，看板数据为结算唯一依据。</t>
        </is>
      </c>
      <c r="B32" s="26" t="n"/>
      <c r="C32" s="26" t="n"/>
      <c r="D32" s="26" t="n"/>
      <c r="E32" s="26" t="n"/>
      <c r="F32" s="26" t="n"/>
      <c r="G32" s="26" t="n"/>
      <c r="H32" s="26" t="n"/>
      <c r="I32" s="26" t="n"/>
      <c r="J32" s="26" t="n"/>
      <c r="K32" s="26" t="n"/>
    </row>
    <row r="33" ht="33" customHeight="1">
      <c r="A33" s="10" t="inlineStr">
        <is>
          <t>3. 归因排除：因甲方未按《交付清单》提供环境、数据或人员配合导致指标未达，经双方书面确认后不计入考核；因甲方业务量本身波动（假期、学期、政策调整）导致的偏差，按可比月份折算。</t>
        </is>
      </c>
      <c r="B33" s="26" t="n"/>
      <c r="C33" s="26" t="n"/>
      <c r="D33" s="26" t="n"/>
      <c r="E33" s="26" t="n"/>
      <c r="F33" s="26" t="n"/>
      <c r="G33" s="26" t="n"/>
      <c r="H33" s="26" t="n"/>
      <c r="I33" s="26" t="n"/>
      <c r="J33" s="26" t="n"/>
      <c r="K33" s="26" t="n"/>
    </row>
    <row r="34" ht="30" customHeight="1">
      <c r="A34" s="10" t="inlineStr">
        <is>
          <t>4. 口径锁定：观察期内不得单方修改指标定义与计算口径；确需调整的，须双方书面签署补充协议，并同步调整目标值与浮动池金额。</t>
        </is>
      </c>
      <c r="B34" s="26" t="n"/>
      <c r="C34" s="26" t="n"/>
      <c r="D34" s="26" t="n"/>
      <c r="E34" s="26" t="n"/>
      <c r="F34" s="26" t="n"/>
      <c r="G34" s="26" t="n"/>
      <c r="H34" s="26" t="n"/>
      <c r="I34" s="26" t="n"/>
      <c r="J34" s="26" t="n"/>
      <c r="K34" s="26" t="n"/>
    </row>
    <row r="35" ht="30" customHeight="1">
      <c r="A35" s="10" t="inlineStr">
        <is>
          <t>5. 独立计算：三项指标分别按达成率对应系数结算，互不抵扣；合计金额不超过浮动池上限。</t>
        </is>
      </c>
      <c r="B35" s="26" t="n"/>
      <c r="C35" s="26" t="n"/>
      <c r="D35" s="26" t="n"/>
      <c r="E35" s="26" t="n"/>
      <c r="F35" s="26" t="n"/>
      <c r="G35" s="26" t="n"/>
      <c r="H35" s="26" t="n"/>
      <c r="I35" s="26" t="n"/>
      <c r="J35" s="26" t="n"/>
      <c r="K35" s="26" t="n"/>
    </row>
    <row r="36" ht="30" customHeight="1">
      <c r="A36" s="10" t="inlineStr">
        <is>
          <t>6. 上下限：浮动结算下限为 0 元，不倒扣基础费；上限为浮动池上限。红线项扣款另计，累计不超过基础费的 20%。</t>
        </is>
      </c>
      <c r="B36" s="26" t="n"/>
      <c r="C36" s="26" t="n"/>
      <c r="D36" s="26" t="n"/>
      <c r="E36" s="26" t="n"/>
      <c r="F36" s="26" t="n"/>
      <c r="G36" s="26" t="n"/>
      <c r="H36" s="26" t="n"/>
      <c r="I36" s="26" t="n"/>
      <c r="J36" s="26" t="n"/>
      <c r="K36" s="26" t="n"/>
    </row>
    <row r="37" ht="30" customHeight="1">
      <c r="A37" s="10" t="inlineStr">
        <is>
          <t>7. 逾期与终止：甲方逾期付款超过 30 日的，乙方有权暂停服务且观察期顺延；合同提前终止的，浮动池按已履行月份比例折算，不足整月不计。</t>
        </is>
      </c>
      <c r="B37" s="26" t="n"/>
      <c r="C37" s="26" t="n"/>
      <c r="D37" s="26" t="n"/>
      <c r="E37" s="26" t="n"/>
      <c r="F37" s="26" t="n"/>
      <c r="G37" s="26" t="n"/>
      <c r="H37" s="26" t="n"/>
      <c r="I37" s="26" t="n"/>
      <c r="J37" s="26" t="n"/>
      <c r="K37" s="26" t="n"/>
    </row>
    <row r="38"/>
    <row r="39" ht="22" customHeight="1">
      <c r="A39" s="6" t="inlineStr">
        <is>
          <t>五、数据共管与争议处理</t>
        </is>
      </c>
    </row>
    <row r="40" ht="28" customHeight="1">
      <c r="A40" s="10" t="inlineStr">
        <is>
          <t>1. 看板权限：甲方管理员与乙方项目经理各持独立账号，所有查询与导出操作留痕；任一方不得单方修改历史数据。</t>
        </is>
      </c>
      <c r="B40" s="26" t="n"/>
      <c r="C40" s="26" t="n"/>
      <c r="D40" s="26" t="n"/>
      <c r="E40" s="26" t="n"/>
      <c r="F40" s="26" t="n"/>
      <c r="G40" s="26" t="n"/>
      <c r="H40" s="26" t="n"/>
      <c r="I40" s="26" t="n"/>
      <c r="J40" s="26" t="n"/>
      <c r="K40" s="26" t="n"/>
    </row>
    <row r="41" ht="28" customHeight="1">
      <c r="A41" s="10" t="inlineStr">
        <is>
          <t>2. 抽样复核：甲方有权每季度对埋点数据抽样复核 1 次，抽样比例不低于 5%，乙方须提供复核所需的原始日志。</t>
        </is>
      </c>
      <c r="B41" s="26" t="n"/>
      <c r="C41" s="26" t="n"/>
      <c r="D41" s="26" t="n"/>
      <c r="E41" s="26" t="n"/>
      <c r="F41" s="26" t="n"/>
      <c r="G41" s="26" t="n"/>
      <c r="H41" s="26" t="n"/>
      <c r="I41" s="26" t="n"/>
      <c r="J41" s="26" t="n"/>
      <c r="K41" s="26" t="n"/>
    </row>
    <row r="42" ht="28" customHeight="1">
      <c r="A42" s="10" t="inlineStr">
        <is>
          <t>3. 争议处理：对某一指标存在争议的，先以原始埋点日志复核；仍不一致的，由双方各指定 1 名技术人员在 5 个工作日内出具结论；仍不能达成一致的，按合同争议条款处理。</t>
        </is>
      </c>
      <c r="B42" s="26" t="n"/>
      <c r="C42" s="26" t="n"/>
      <c r="D42" s="26" t="n"/>
      <c r="E42" s="26" t="n"/>
      <c r="F42" s="26" t="n"/>
      <c r="G42" s="26" t="n"/>
      <c r="H42" s="26" t="n"/>
      <c r="I42" s="26" t="n"/>
      <c r="J42" s="26" t="n"/>
      <c r="K42" s="26" t="n"/>
    </row>
  </sheetData>
  <mergeCells count="33">
    <mergeCell ref="D26:K26"/>
    <mergeCell ref="A34:K34"/>
    <mergeCell ref="A30:K30"/>
    <mergeCell ref="A39:K39"/>
    <mergeCell ref="F17:K17"/>
    <mergeCell ref="D22:K22"/>
    <mergeCell ref="A36:K36"/>
    <mergeCell ref="A1:K1"/>
    <mergeCell ref="A9:D9"/>
    <mergeCell ref="D21:K21"/>
    <mergeCell ref="F13:K13"/>
    <mergeCell ref="A41:K41"/>
    <mergeCell ref="D27:K27"/>
    <mergeCell ref="A37:K37"/>
    <mergeCell ref="A12:K12"/>
    <mergeCell ref="A18:K18"/>
    <mergeCell ref="F14:K14"/>
    <mergeCell ref="A2:K2"/>
    <mergeCell ref="A33:K33"/>
    <mergeCell ref="A42:K42"/>
    <mergeCell ref="A32:K32"/>
    <mergeCell ref="A35:K35"/>
    <mergeCell ref="A4:K4"/>
    <mergeCell ref="F16:K16"/>
    <mergeCell ref="A20:K20"/>
    <mergeCell ref="D25:K25"/>
    <mergeCell ref="D24:K24"/>
    <mergeCell ref="A10:K10"/>
    <mergeCell ref="A28:K28"/>
    <mergeCell ref="D23:K23"/>
    <mergeCell ref="A40:K40"/>
    <mergeCell ref="F15:K15"/>
    <mergeCell ref="A31:K31"/>
  </mergeCells>
  <conditionalFormatting sqref="H6:H8">
    <cfRule type="cellIs" priority="1" operator="greaterThanOrEqual" dxfId="0">
      <formula>1</formula>
    </cfRule>
    <cfRule type="cellIs" priority="2" operator="lessThan" dxfId="1">
      <formula>0.7</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FF70AD47"/>
    <outlinePr summaryBelow="1" summaryRight="1"/>
    <pageSetUpPr fitToPage="1"/>
  </sheetPr>
  <dimension ref="A1:F18"/>
  <sheetViews>
    <sheetView workbookViewId="0">
      <pane ySplit="4" topLeftCell="A5" activePane="bottomLeft" state="frozen"/>
      <selection pane="bottomLeft" activeCell="A1" sqref="A1"/>
    </sheetView>
  </sheetViews>
  <sheetFormatPr baseColWidth="8" defaultRowHeight="15"/>
  <cols>
    <col width="6" customWidth="1" min="1" max="1"/>
    <col width="15" customWidth="1" min="2" max="2"/>
    <col width="26" customWidth="1" min="3" max="3"/>
    <col width="44" customWidth="1" min="4" max="4"/>
    <col width="42" customWidth="1" min="5" max="5"/>
    <col width="14" customWidth="1" min="6" max="6"/>
  </cols>
  <sheetData>
    <row r="1" ht="32" customHeight="1">
      <c r="A1" s="31" t="inlineStr">
        <is>
          <t>交付清单 — 报价范围的唯一依据（清单外需求一律走变更流程）</t>
        </is>
      </c>
    </row>
    <row r="2" ht="18.5" customHeight="1">
      <c r="A2" s="30" t="inlineStr">
        <is>
          <t>先有清单，才有价格。报价单里每个金额都能在本清单找到对应的可核验交付物与验收标准。</t>
        </is>
      </c>
    </row>
    <row r="3"/>
    <row r="4" ht="26" customHeight="1">
      <c r="A4" s="7" t="inlineStr">
        <is>
          <t>序号</t>
        </is>
      </c>
      <c r="B4" s="7" t="inlineStr">
        <is>
          <t>交付阶段</t>
        </is>
      </c>
      <c r="C4" s="7" t="inlineStr">
        <is>
          <t>交付物</t>
        </is>
      </c>
      <c r="D4" s="7" t="inlineStr">
        <is>
          <t>范围与数量</t>
        </is>
      </c>
      <c r="E4" s="7" t="inlineStr">
        <is>
          <t>验收标准</t>
        </is>
      </c>
      <c r="F4" s="7" t="inlineStr">
        <is>
          <t>对应科目</t>
        </is>
      </c>
    </row>
    <row r="5" ht="33" customHeight="1">
      <c r="A5" s="8" t="n">
        <v>1</v>
      </c>
      <c r="B5" s="8" t="inlineStr">
        <is>
          <t>第 2 周</t>
        </is>
      </c>
      <c r="C5" s="9" t="inlineStr">
        <is>
          <t>场景清单与诊断报告</t>
        </is>
      </c>
      <c r="D5" s="10" t="inlineStr">
        <is>
          <t>覆盖 4 个核心场景，含现状与目标差距、数据可行性判断、优先级排序</t>
        </is>
      </c>
      <c r="E5" s="10" t="inlineStr">
        <is>
          <t>4 个场景均给出可落地或明确不可行的结论，甲方业务负责人签字确认</t>
        </is>
      </c>
      <c r="F5" s="39" t="inlineStr">
        <is>
          <t>02 / 03</t>
        </is>
      </c>
    </row>
    <row r="6" ht="33" customHeight="1">
      <c r="A6" s="8" t="n">
        <v>2</v>
      </c>
      <c r="B6" s="8" t="inlineStr">
        <is>
          <t>第 3 周</t>
        </is>
      </c>
      <c r="C6" s="9" t="inlineStr">
        <is>
          <t>方案与架构说明书</t>
        </is>
      </c>
      <c r="D6" s="10" t="inlineStr">
        <is>
          <t>技术选型、数据流图、权限与安全架构、部署拓扑、评测集设计说明</t>
        </is>
      </c>
      <c r="E6" s="10" t="inlineStr">
        <is>
          <t>通过甲方技术评审会，评审意见全部闭环</t>
        </is>
      </c>
      <c r="F6" s="39" t="inlineStr">
        <is>
          <t>03</t>
        </is>
      </c>
    </row>
    <row r="7" ht="33" customHeight="1">
      <c r="A7" s="8" t="n">
        <v>3</v>
      </c>
      <c r="B7" s="8" t="inlineStr">
        <is>
          <t>第 5 周</t>
        </is>
      </c>
      <c r="C7" s="9" t="inlineStr">
        <is>
          <t>知识资产包</t>
        </is>
      </c>
      <c r="D7" s="10" t="inlineStr">
        <is>
          <t>结构化 FAQ ≥ 200 条、文档切片 ≥ 800 段、元数据与权限标注规范 1 份</t>
        </is>
      </c>
      <c r="E7" s="10" t="inlineStr">
        <is>
          <t>抽查 50 条，问答可溯源率 ≥ 95%</t>
        </is>
      </c>
      <c r="F7" s="39" t="inlineStr">
        <is>
          <t>04</t>
        </is>
      </c>
    </row>
    <row r="8" ht="33" customHeight="1">
      <c r="A8" s="8" t="n">
        <v>4</v>
      </c>
      <c r="B8" s="8" t="inlineStr">
        <is>
          <t>第 6 周</t>
        </is>
      </c>
      <c r="C8" s="9" t="inlineStr">
        <is>
          <t>可运行系统（UAT 版）</t>
        </is>
      </c>
      <c r="D8" s="10" t="inlineStr">
        <is>
          <t>4 个场景端到端可用；工具调用、权限隔离、草稿确认机制完整实现</t>
        </is>
      </c>
      <c r="E8" s="10" t="inlineStr">
        <is>
          <t>工具选择准确率 ≥ 90%；越权路径 100% 拦截</t>
        </is>
      </c>
      <c r="F8" s="39" t="inlineStr">
        <is>
          <t>05</t>
        </is>
      </c>
    </row>
    <row r="9" ht="33" customHeight="1">
      <c r="A9" s="8" t="n">
        <v>5</v>
      </c>
      <c r="B9" s="8" t="inlineStr">
        <is>
          <t>第 6 周</t>
        </is>
      </c>
      <c r="C9" s="9" t="inlineStr">
        <is>
          <t>评测集（Golden Set）</t>
        </is>
      </c>
      <c r="D9" s="10" t="inlineStr">
        <is>
          <t>≥ 60 条，覆盖工具选择、拒答、越权、诱导、注入、多轮六类</t>
        </is>
      </c>
      <c r="E9" s="10" t="inlineStr">
        <is>
          <t>六类各 ≥ 8 条，双方确认后冻结版本号</t>
        </is>
      </c>
      <c r="F9" s="39" t="inlineStr">
        <is>
          <t>06</t>
        </is>
      </c>
    </row>
    <row r="10" ht="33" customHeight="1">
      <c r="A10" s="8" t="n">
        <v>6</v>
      </c>
      <c r="B10" s="8" t="inlineStr">
        <is>
          <t>第 7 周</t>
        </is>
      </c>
      <c r="C10" s="9" t="inlineStr">
        <is>
          <t>评测报告</t>
        </is>
      </c>
      <c r="D10" s="10" t="inlineStr">
        <is>
          <t>准确率、幻觉率、越权拦截率三项实测结果与失败样本分析</t>
        </is>
      </c>
      <c r="E10" s="10" t="inlineStr">
        <is>
          <t>准确率 ≥ 90%；越权与注入拦截 100%</t>
        </is>
      </c>
      <c r="F10" s="39" t="inlineStr">
        <is>
          <t>06</t>
        </is>
      </c>
    </row>
    <row r="11" ht="33" customHeight="1">
      <c r="A11" s="8" t="n">
        <v>7</v>
      </c>
      <c r="B11" s="8" t="inlineStr">
        <is>
          <t>第 7 周</t>
        </is>
      </c>
      <c r="C11" s="9" t="inlineStr">
        <is>
          <t>安全与合规清单</t>
        </is>
      </c>
      <c r="D11" s="10" t="inlineStr">
        <is>
          <t>数据分级、脱敏规则、审计留痕方案、密评/等保配合说明各 1 份</t>
        </is>
      </c>
      <c r="E11" s="10" t="inlineStr">
        <is>
          <t>甲方信息安全部门会签</t>
        </is>
      </c>
      <c r="F11" s="39" t="inlineStr">
        <is>
          <t>06</t>
        </is>
      </c>
    </row>
    <row r="12" ht="18.5" customHeight="1">
      <c r="A12" s="8" t="n">
        <v>8</v>
      </c>
      <c r="B12" s="8" t="inlineStr">
        <is>
          <t>第 7 周</t>
        </is>
      </c>
      <c r="C12" s="9" t="inlineStr">
        <is>
          <t>上线与运维手册</t>
        </is>
      </c>
      <c r="D12" s="10" t="inlineStr">
        <is>
          <t>部署手册、操作手册、应急预案各 1 份</t>
        </is>
      </c>
      <c r="E12" s="10" t="inlineStr">
        <is>
          <t>按手册在演练环境独立复现一次部署成功</t>
        </is>
      </c>
      <c r="F12" s="39" t="inlineStr">
        <is>
          <t>08</t>
        </is>
      </c>
    </row>
    <row r="13" ht="33" customHeight="1">
      <c r="A13" s="8" t="n">
        <v>9</v>
      </c>
      <c r="B13" s="8" t="inlineStr">
        <is>
          <t>第 7 周</t>
        </is>
      </c>
      <c r="C13" s="9" t="inlineStr">
        <is>
          <t>培训与交付</t>
        </is>
      </c>
      <c r="D13" s="10" t="inlineStr">
        <is>
          <t>管理员 1 场 + 终端用户 1 场，各 2 小时，含课件与录屏</t>
        </is>
      </c>
      <c r="E13" s="10" t="inlineStr">
        <is>
          <t>参训人员实操通过率 ≥ 80%</t>
        </is>
      </c>
      <c r="F13" s="39" t="inlineStr">
        <is>
          <t>08</t>
        </is>
      </c>
    </row>
    <row r="14" ht="33" customHeight="1">
      <c r="A14" s="8" t="n">
        <v>10</v>
      </c>
      <c r="B14" s="8" t="inlineStr">
        <is>
          <t>第 8 周起 3 个月</t>
        </is>
      </c>
      <c r="C14" s="9" t="inlineStr">
        <is>
          <t>质保期运维</t>
        </is>
      </c>
      <c r="D14" s="10" t="inlineStr">
        <is>
          <t>监控告警、月度迭代 1 次、故障响应 ≤ 4 小时</t>
        </is>
      </c>
      <c r="E14" s="10" t="inlineStr">
        <is>
          <t>月度运维报告 3 份，无未闭环 P1 故障</t>
        </is>
      </c>
      <c r="F14" s="39" t="inlineStr">
        <is>
          <t>09</t>
        </is>
      </c>
    </row>
    <row r="15"/>
    <row r="16"/>
    <row r="17" ht="22" customHeight="1">
      <c r="A17" s="6" t="inlineStr">
        <is>
          <t>变更条款</t>
        </is>
      </c>
    </row>
    <row r="18" ht="46" customHeight="1">
      <c r="A18" s="25" t="inlineStr">
        <is>
          <t>任何不在本清单内的功能、场景或数据范围，须先由乙方出具《变更评估单》（工时、影响范围、对验收标准的影响），经双方书面确认后方可执行；累计变更金额超过合同额 20% 时触发合同复核。口头或聊天记录中的确认不生效。</t>
        </is>
      </c>
      <c r="B18" s="26" t="n"/>
      <c r="C18" s="26" t="n"/>
      <c r="D18" s="26" t="n"/>
      <c r="E18" s="26" t="n"/>
      <c r="F18" s="26" t="n"/>
    </row>
  </sheetData>
  <autoFilter ref="A4:F14"/>
  <mergeCells count="4">
    <mergeCell ref="A2:F2"/>
    <mergeCell ref="A1:F1"/>
    <mergeCell ref="A18:F18"/>
    <mergeCell ref="A17:F1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FF1A1A1A"/>
    <outlinePr summaryBelow="1" summaryRight="1"/>
    <pageSetUpPr/>
  </sheetPr>
  <dimension ref="A1:C25"/>
  <sheetViews>
    <sheetView workbookViewId="0">
      <selection activeCell="A1" sqref="A1"/>
    </sheetView>
  </sheetViews>
  <sheetFormatPr baseColWidth="8" defaultRowHeight="15"/>
  <cols>
    <col width="26" customWidth="1" min="1" max="1"/>
    <col width="18" customWidth="1" min="2" max="2"/>
    <col width="62" customWidth="1" min="3" max="3"/>
  </cols>
  <sheetData>
    <row r="1" ht="32" customHeight="1">
      <c r="A1" s="31" t="inlineStr">
        <is>
          <t>参数中心（全表唯一入口）</t>
        </is>
      </c>
    </row>
    <row r="2" ht="18.5" customHeight="1">
      <c r="A2" s="30" t="inlineStr">
        <is>
          <t>改动本页任一数值，「成本测算」「报价单」「效果浮动」三页自动联动。灰底为可改输入，白底为说明。</t>
        </is>
      </c>
    </row>
    <row r="3"/>
    <row r="4" ht="22" customHeight="1">
      <c r="A4" s="6" t="inlineStr">
        <is>
          <t>一、报价参数</t>
        </is>
      </c>
    </row>
    <row r="5" ht="22" customHeight="1">
      <c r="A5" s="7" t="inlineStr">
        <is>
          <t>参数</t>
        </is>
      </c>
      <c r="B5" s="7" t="inlineStr">
        <is>
          <t>取值</t>
        </is>
      </c>
      <c r="C5" s="7" t="inlineStr">
        <is>
          <t>说明</t>
        </is>
      </c>
    </row>
    <row r="6" ht="18.5" customHeight="1">
      <c r="A6" s="10" t="inlineStr">
        <is>
          <t>管理分摊率</t>
        </is>
      </c>
      <c r="B6" s="17" t="n">
        <v>0.18</v>
      </c>
      <c r="C6" s="12" t="inlineStr">
        <is>
          <t>销售、行政、房租、设备等公司级费用分摊</t>
        </is>
      </c>
    </row>
    <row r="7" ht="18.5" customHeight="1">
      <c r="A7" s="10" t="inlineStr">
        <is>
          <t>风险准备率</t>
        </is>
      </c>
      <c r="B7" s="17" t="n">
        <v>0.12</v>
      </c>
      <c r="C7" s="12" t="inlineStr">
        <is>
          <t>需求变更、跨期、验收争议的缓冲</t>
        </is>
      </c>
    </row>
    <row r="8" ht="18.5" customHeight="1">
      <c r="A8" s="10" t="inlineStr">
        <is>
          <t>目标毛利率</t>
        </is>
      </c>
      <c r="B8" s="17" t="n">
        <v>0.4</v>
      </c>
      <c r="C8" s="12" t="inlineStr">
        <is>
          <t>效果浮动拿满时的综合毛利率</t>
        </is>
      </c>
    </row>
    <row r="9" ht="18.5" customHeight="1">
      <c r="A9" s="10" t="inlineStr">
        <is>
          <t>基础费保底毛利率</t>
        </is>
      </c>
      <c r="B9" s="17" t="n">
        <v>0.2</v>
      </c>
      <c r="C9" s="12" t="inlineStr">
        <is>
          <t>效果全未达时的最低毛利，务必大于 0</t>
        </is>
      </c>
    </row>
    <row r="10" ht="18.5" customHeight="1">
      <c r="A10" s="10" t="inlineStr">
        <is>
          <t>质保期（月）</t>
        </is>
      </c>
      <c r="B10" s="40" t="n">
        <v>3</v>
      </c>
      <c r="C10" s="12" t="inlineStr">
        <is>
          <t>上线后免费运维期，含在基础费内</t>
        </is>
      </c>
    </row>
    <row r="11" ht="18.5" customHeight="1">
      <c r="A11" s="10" t="inlineStr">
        <is>
          <t>效果观察期（月）</t>
        </is>
      </c>
      <c r="B11" s="40" t="n">
        <v>6</v>
      </c>
      <c r="C11" s="12" t="inlineStr">
        <is>
          <t>浮动结算的计量周期</t>
        </is>
      </c>
    </row>
    <row r="12" ht="18.5" customHeight="1">
      <c r="A12" s="10" t="inlineStr">
        <is>
          <t>浮动起付达成率</t>
        </is>
      </c>
      <c r="B12" s="17" t="n">
        <v>0.7</v>
      </c>
      <c r="C12" s="12" t="inlineStr">
        <is>
          <t>低于此值浮动为 0，仅结算基础费</t>
        </is>
      </c>
    </row>
    <row r="13" ht="18.5" customHeight="1">
      <c r="A13" s="10" t="inlineStr">
        <is>
          <t>浮动封顶达成率</t>
        </is>
      </c>
      <c r="B13" s="17" t="n">
        <v>1.2</v>
      </c>
      <c r="C13" s="12" t="inlineStr">
        <is>
          <t>达到此值拿满浮动池</t>
        </is>
      </c>
    </row>
    <row r="14" ht="18.5" customHeight="1">
      <c r="A14" s="10" t="inlineStr">
        <is>
          <t>红线扣款上限</t>
        </is>
      </c>
      <c r="B14" s="17" t="n">
        <v>0.2</v>
      </c>
      <c r="C14" s="12" t="inlineStr">
        <is>
          <t>红线扣款累计不超过基础费的比例</t>
        </is>
      </c>
    </row>
    <row r="15"/>
    <row r="16" ht="22" customHeight="1">
      <c r="A16" s="6" t="inlineStr">
        <is>
          <t>二、角色内部成本单价（成本口径，非对客单价）</t>
        </is>
      </c>
    </row>
    <row r="17" ht="33" customHeight="1">
      <c r="A17" s="7" t="inlineStr">
        <is>
          <t>角色</t>
        </is>
      </c>
      <c r="B17" s="7" t="inlineStr">
        <is>
          <t>成本单价（元/人天）</t>
        </is>
      </c>
      <c r="C17" s="7" t="inlineStr">
        <is>
          <t>说明</t>
        </is>
      </c>
    </row>
    <row r="18" ht="18.5" customHeight="1">
      <c r="A18" s="10" t="inlineStr">
        <is>
          <t>交付负责人</t>
        </is>
      </c>
      <c r="B18" s="41" t="n">
        <v>2600</v>
      </c>
      <c r="C18" s="12" t="inlineStr">
        <is>
          <t>FDE Lead，对方案与验收负责</t>
        </is>
      </c>
    </row>
    <row r="19" ht="18.5" customHeight="1">
      <c r="A19" s="10" t="inlineStr">
        <is>
          <t>诊断与方案</t>
        </is>
      </c>
      <c r="B19" s="41" t="n">
        <v>2400</v>
      </c>
      <c r="C19" s="12" t="inlineStr">
        <is>
          <t>场景诊断、架构与评测集设计</t>
        </is>
      </c>
    </row>
    <row r="20" ht="18.5" customHeight="1">
      <c r="A20" s="10" t="inlineStr">
        <is>
          <t>数据与知识工程</t>
        </is>
      </c>
      <c r="B20" s="41" t="n">
        <v>1900</v>
      </c>
      <c r="C20" s="12" t="inlineStr">
        <is>
          <t>清洗、标注、检索切分、索引</t>
        </is>
      </c>
    </row>
    <row r="21" ht="18.5" customHeight="1">
      <c r="A21" s="10" t="inlineStr">
        <is>
          <t>集成开发</t>
        </is>
      </c>
      <c r="B21" s="41" t="n">
        <v>2100</v>
      </c>
      <c r="C21" s="12" t="inlineStr">
        <is>
          <t>系统对接、私有化部署</t>
        </is>
      </c>
    </row>
    <row r="22" ht="18.5" customHeight="1">
      <c r="A22" s="10" t="inlineStr">
        <is>
          <t>评测与安全</t>
        </is>
      </c>
      <c r="B22" s="41" t="n">
        <v>2000</v>
      </c>
      <c r="C22" s="12" t="inlineStr">
        <is>
          <t>幻觉/越权/注入测试、合规</t>
        </is>
      </c>
    </row>
    <row r="23" ht="18.5" customHeight="1">
      <c r="A23" s="10" t="inlineStr">
        <is>
          <t>部署培训与运维</t>
        </is>
      </c>
      <c r="B23" s="41" t="n">
        <v>1600</v>
      </c>
      <c r="C23" s="12" t="inlineStr">
        <is>
          <t>发布、培训、质保期运维</t>
        </is>
      </c>
    </row>
    <row r="24"/>
    <row r="25" ht="34" customHeight="1">
      <c r="A25" s="38" t="inlineStr">
        <is>
          <t>提醒：管理分摊率、风险准备率、目标毛利率三套参数因公司阶段与客户类型差异极大，不要直接沿用示例值——先用本公司近 3 个项目的实际数据倒推一遍，再定稿。</t>
        </is>
      </c>
    </row>
  </sheetData>
  <mergeCells count="5">
    <mergeCell ref="A25:C25"/>
    <mergeCell ref="A1:C1"/>
    <mergeCell ref="A16:C16"/>
    <mergeCell ref="A4:C4"/>
    <mergeCell ref="A2:C2"/>
  </mergeCells>
  <pageMargins left="0.75" right="0.75" top="1" bottom="1" header="0.5" footer="0.5"/>
</worksheet>
</file>

<file path=xl/worksheets/sheet5.xml><?xml version="1.0" encoding="utf-8"?>
<worksheet xmlns="http://schemas.openxmlformats.org/spreadsheetml/2006/main">
  <sheetPr>
    <tabColor rgb="FF2F5597"/>
    <outlinePr summaryBelow="1" summaryRight="1"/>
    <pageSetUpPr/>
  </sheetPr>
  <dimension ref="A1:H49"/>
  <sheetViews>
    <sheetView workbookViewId="0">
      <selection activeCell="A1" sqref="A1"/>
    </sheetView>
  </sheetViews>
  <sheetFormatPr baseColWidth="8" defaultRowHeight="15"/>
  <cols>
    <col width="6" customWidth="1" min="1" max="1"/>
    <col width="26" customWidth="1" min="2" max="2"/>
    <col width="24" customWidth="1" min="3" max="3"/>
    <col width="12" customWidth="1" min="4" max="4"/>
    <col width="15" customWidth="1" min="5" max="5"/>
    <col width="15" customWidth="1" min="6" max="6"/>
    <col width="15" customWidth="1" min="7" max="7"/>
    <col width="34" customWidth="1" min="8" max="8"/>
  </cols>
  <sheetData>
    <row r="1" ht="32" customHeight="1">
      <c r="A1" s="31" t="inlineStr">
        <is>
          <t>成本测算（内部）— 按九科目归集，请勿随报价单交付客户</t>
        </is>
      </c>
    </row>
    <row r="2" ht="18.5" customHeight="1">
      <c r="A2" s="30" t="inlineStr">
        <is>
          <t>推导顺序：交付清单 → 工时分解 → 直接成本 → 分摊与风险 → 报价。顺序不可倒：先谈定范围再填工时，反过来就是「报价凑数」，客户一问就崩。</t>
        </is>
      </c>
    </row>
    <row r="3"/>
    <row r="4" ht="22" customHeight="1">
      <c r="A4" s="6" t="inlineStr">
        <is>
          <t>一、工时分解与直接成本（按角色 × 阶段填表）</t>
        </is>
      </c>
    </row>
    <row r="5" ht="33" customHeight="1">
      <c r="A5" s="7" t="inlineStr">
        <is>
          <t>序号</t>
        </is>
      </c>
      <c r="B5" s="7" t="inlineStr">
        <is>
          <t>成本科目</t>
        </is>
      </c>
      <c r="C5" s="7" t="inlineStr">
        <is>
          <t>角色 / 费用项</t>
        </is>
      </c>
      <c r="D5" s="7" t="inlineStr">
        <is>
          <t>人天</t>
        </is>
      </c>
      <c r="E5" s="7" t="inlineStr">
        <is>
          <t>成本单价（元/人天）</t>
        </is>
      </c>
      <c r="F5" s="7" t="inlineStr">
        <is>
          <t>人力成本（元）</t>
        </is>
      </c>
      <c r="G5" s="7" t="inlineStr">
        <is>
          <t>直接成本（元）</t>
        </is>
      </c>
      <c r="H5" s="7" t="inlineStr">
        <is>
          <t>说明</t>
        </is>
      </c>
    </row>
    <row r="6" ht="33" customHeight="1">
      <c r="A6" s="8" t="n">
        <v>1</v>
      </c>
      <c r="B6" s="10" t="inlineStr">
        <is>
          <t>01 售前与机会成本</t>
        </is>
      </c>
      <c r="C6" s="10" t="inlineStr">
        <is>
          <t>交付负责人</t>
        </is>
      </c>
      <c r="D6" s="42" t="n">
        <v>4</v>
      </c>
      <c r="E6" s="43">
        <f>IF($D6="","",VLOOKUP($C6,'参数'!$A$18:$B$23,2,FALSE))</f>
        <v>2600</v>
      </c>
      <c r="F6" s="11">
        <f>IF($D6="","",$D6*$E6)</f>
        <v>10400</v>
      </c>
      <c r="G6" s="44" t="n"/>
      <c r="H6" s="12" t="inlineStr">
        <is>
          <t>标书、方案、投标材料（未中标也照花）</t>
        </is>
      </c>
    </row>
    <row r="7" ht="18.5" customHeight="1">
      <c r="A7" s="8" t="n">
        <v>2</v>
      </c>
      <c r="B7" s="10" t="inlineStr">
        <is>
          <t>01 售前与机会成本</t>
        </is>
      </c>
      <c r="C7" s="10" t="inlineStr">
        <is>
          <t>诊断与方案</t>
        </is>
      </c>
      <c r="D7" s="42" t="n">
        <v>4</v>
      </c>
      <c r="E7" s="43">
        <f>IF($D7="","",VLOOKUP($C7,'参数'!$A$18:$B$23,2,FALSE))</f>
        <v>2400</v>
      </c>
      <c r="F7" s="11">
        <f>IF($D7="","",$D7*$E7)</f>
        <v>9600</v>
      </c>
      <c r="G7" s="44" t="n"/>
      <c r="H7" s="12" t="inlineStr">
        <is>
          <t>POC 演示与驻场调研</t>
        </is>
      </c>
    </row>
    <row r="8" ht="18.5" customHeight="1">
      <c r="A8" s="8" t="n">
        <v>3</v>
      </c>
      <c r="B8" s="10" t="inlineStr">
        <is>
          <t>02 诊断与场景梳理</t>
        </is>
      </c>
      <c r="C8" s="10" t="inlineStr">
        <is>
          <t>诊断与方案</t>
        </is>
      </c>
      <c r="D8" s="42" t="n">
        <v>10</v>
      </c>
      <c r="E8" s="43">
        <f>IF($D8="","",VLOOKUP($C8,'参数'!$A$18:$B$23,2,FALSE))</f>
        <v>2400</v>
      </c>
      <c r="F8" s="11">
        <f>IF($D8="","",$D8*$E8)</f>
        <v>24000</v>
      </c>
      <c r="G8" s="44" t="n"/>
      <c r="H8" s="12" t="inlineStr">
        <is>
          <t>现状诊断、场景筛选、可行性结论</t>
        </is>
      </c>
    </row>
    <row r="9" ht="18.5" customHeight="1">
      <c r="A9" s="8" t="n">
        <v>4</v>
      </c>
      <c r="B9" s="10" t="inlineStr">
        <is>
          <t>03 方案与架构设计</t>
        </is>
      </c>
      <c r="C9" s="10" t="inlineStr">
        <is>
          <t>交付负责人</t>
        </is>
      </c>
      <c r="D9" s="42" t="n">
        <v>6</v>
      </c>
      <c r="E9" s="43">
        <f>IF($D9="","",VLOOKUP($C9,'参数'!$A$18:$B$23,2,FALSE))</f>
        <v>2600</v>
      </c>
      <c r="F9" s="11">
        <f>IF($D9="","",$D9*$E9)</f>
        <v>15600</v>
      </c>
      <c r="G9" s="44" t="n"/>
      <c r="H9" s="12" t="inlineStr">
        <is>
          <t>技术选型、权限模型、验收标准定义</t>
        </is>
      </c>
    </row>
    <row r="10" ht="33" customHeight="1">
      <c r="A10" s="8" t="n">
        <v>5</v>
      </c>
      <c r="B10" s="10" t="inlineStr">
        <is>
          <t>03 方案与架构设计</t>
        </is>
      </c>
      <c r="C10" s="10" t="inlineStr">
        <is>
          <t>诊断与方案</t>
        </is>
      </c>
      <c r="D10" s="42" t="n">
        <v>6</v>
      </c>
      <c r="E10" s="43">
        <f>IF($D10="","",VLOOKUP($C10,'参数'!$A$18:$B$23,2,FALSE))</f>
        <v>2400</v>
      </c>
      <c r="F10" s="11">
        <f>IF($D10="","",$D10*$E10)</f>
        <v>14400</v>
      </c>
      <c r="G10" s="44" t="n"/>
      <c r="H10" s="12" t="inlineStr">
        <is>
          <t>数据流设计、评测集（Golden Set）设计</t>
        </is>
      </c>
    </row>
    <row r="11" ht="33" customHeight="1">
      <c r="A11" s="8" t="n">
        <v>6</v>
      </c>
      <c r="B11" s="10" t="inlineStr">
        <is>
          <t>04 数据与知识资产建设</t>
        </is>
      </c>
      <c r="C11" s="10" t="inlineStr">
        <is>
          <t>数据与知识工程</t>
        </is>
      </c>
      <c r="D11" s="42" t="n">
        <v>26</v>
      </c>
      <c r="E11" s="43">
        <f>IF($D11="","",VLOOKUP($C11,'参数'!$A$18:$B$23,2,FALSE))</f>
        <v>1900</v>
      </c>
      <c r="F11" s="11">
        <f>IF($D11="","",$D11*$E11)</f>
        <v>49400</v>
      </c>
      <c r="G11" s="44" t="n"/>
      <c r="H11" s="12" t="inlineStr">
        <is>
          <t>清洗、结构化、标注、权限梳理、检索切分</t>
        </is>
      </c>
    </row>
    <row r="12" ht="33" customHeight="1">
      <c r="A12" s="8" t="n">
        <v>7</v>
      </c>
      <c r="B12" s="10" t="inlineStr">
        <is>
          <t>05 集成与工程实施</t>
        </is>
      </c>
      <c r="C12" s="10" t="inlineStr">
        <is>
          <t>集成开发</t>
        </is>
      </c>
      <c r="D12" s="42" t="n">
        <v>32</v>
      </c>
      <c r="E12" s="43">
        <f>IF($D12="","",VLOOKUP($C12,'参数'!$A$18:$B$23,2,FALSE))</f>
        <v>2100</v>
      </c>
      <c r="F12" s="11">
        <f>IF($D12="","",$D12*$E12)</f>
        <v>67200</v>
      </c>
      <c r="G12" s="44" t="n"/>
      <c r="H12" s="12" t="inlineStr">
        <is>
          <t>既有系统对接、环境适配、私有化部署</t>
        </is>
      </c>
    </row>
    <row r="13" ht="33" customHeight="1">
      <c r="A13" s="8" t="n">
        <v>8</v>
      </c>
      <c r="B13" s="10" t="inlineStr">
        <is>
          <t>06 评测与安全合规</t>
        </is>
      </c>
      <c r="C13" s="10" t="inlineStr">
        <is>
          <t>评测与安全</t>
        </is>
      </c>
      <c r="D13" s="42" t="n">
        <v>12</v>
      </c>
      <c r="E13" s="43">
        <f>IF($D13="","",VLOOKUP($C13,'参数'!$A$18:$B$23,2,FALSE))</f>
        <v>2000</v>
      </c>
      <c r="F13" s="11">
        <f>IF($D13="","",$D13*$E13)</f>
        <v>24000</v>
      </c>
      <c r="G13" s="44" t="n"/>
      <c r="H13" s="12" t="inlineStr">
        <is>
          <t>幻觉测试、越权与注入测试、审计留痕</t>
        </is>
      </c>
    </row>
    <row r="14" ht="33" customHeight="1">
      <c r="A14" s="8" t="n">
        <v>9</v>
      </c>
      <c r="B14" s="10" t="inlineStr">
        <is>
          <t>08 部署上线与培训</t>
        </is>
      </c>
      <c r="C14" s="10" t="inlineStr">
        <is>
          <t>部署培训与运维</t>
        </is>
      </c>
      <c r="D14" s="42" t="n">
        <v>8</v>
      </c>
      <c r="E14" s="43">
        <f>IF($D14="","",VLOOKUP($C14,'参数'!$A$18:$B$23,2,FALSE))</f>
        <v>1600</v>
      </c>
      <c r="F14" s="11">
        <f>IF($D14="","",$D14*$E14)</f>
        <v>12800</v>
      </c>
      <c r="G14" s="44" t="n"/>
      <c r="H14" s="12" t="inlineStr">
        <is>
          <t>生产发布、培训 2 场、手册与应急预案</t>
        </is>
      </c>
    </row>
    <row r="15" ht="18.5" customHeight="1">
      <c r="A15" s="8" t="n">
        <v>10</v>
      </c>
      <c r="B15" s="10" t="inlineStr">
        <is>
          <t>09 运维与持续优化</t>
        </is>
      </c>
      <c r="C15" s="10" t="inlineStr">
        <is>
          <t>部署培训与运维</t>
        </is>
      </c>
      <c r="D15" s="42" t="n">
        <v>10</v>
      </c>
      <c r="E15" s="43">
        <f>IF($D15="","",VLOOKUP($C15,'参数'!$A$18:$B$23,2,FALSE))</f>
        <v>1600</v>
      </c>
      <c r="F15" s="11">
        <f>IF($D15="","",$D15*$E15)</f>
        <v>16000</v>
      </c>
      <c r="G15" s="44" t="n"/>
      <c r="H15" s="12" t="inlineStr">
        <is>
          <t>3 个月质保：监控、迭代、故障响应</t>
        </is>
      </c>
    </row>
    <row r="16" ht="33" customHeight="1">
      <c r="A16" s="8" t="n">
        <v>11</v>
      </c>
      <c r="B16" s="10" t="inlineStr">
        <is>
          <t>07 算力与模型调用</t>
        </is>
      </c>
      <c r="C16" s="10" t="inlineStr">
        <is>
          <t>推理 Token（试点 6 个月）</t>
        </is>
      </c>
      <c r="D16" s="26" t="n"/>
      <c r="E16" s="44" t="n"/>
      <c r="F16" s="44" t="n"/>
      <c r="G16" s="45" t="n">
        <v>12000</v>
      </c>
      <c r="H16" s="12" t="inlineStr">
        <is>
          <t>按实际调用量，预留 30% 余量</t>
        </is>
      </c>
    </row>
    <row r="17" ht="18.5" customHeight="1">
      <c r="A17" s="8" t="n">
        <v>12</v>
      </c>
      <c r="B17" s="10" t="inlineStr">
        <is>
          <t>07 算力与模型调用</t>
        </is>
      </c>
      <c r="C17" s="10" t="inlineStr">
        <is>
          <t>向量库 / 检索服务</t>
        </is>
      </c>
      <c r="D17" s="26" t="n"/>
      <c r="E17" s="44" t="n"/>
      <c r="F17" s="44" t="n"/>
      <c r="G17" s="45" t="n">
        <v>6000</v>
      </c>
      <c r="H17" s="12" t="inlineStr">
        <is>
          <t>托管向量库年费摊入试点期</t>
        </is>
      </c>
    </row>
    <row r="18" ht="33" customHeight="1">
      <c r="A18" s="8" t="n">
        <v>13</v>
      </c>
      <c r="B18" s="10" t="inlineStr">
        <is>
          <t>07 算力与模型调用</t>
        </is>
      </c>
      <c r="C18" s="10" t="inlineStr">
        <is>
          <t>第三方 API（OCR / 短信）</t>
        </is>
      </c>
      <c r="D18" s="26" t="n"/>
      <c r="E18" s="44" t="n"/>
      <c r="F18" s="44" t="n"/>
      <c r="G18" s="45" t="n">
        <v>3000</v>
      </c>
      <c r="H18" s="12" t="inlineStr">
        <is>
          <t>按调用量结算</t>
        </is>
      </c>
    </row>
    <row r="19" ht="18.5" customHeight="1">
      <c r="A19" s="8" t="n">
        <v>14</v>
      </c>
      <c r="B19" s="10" t="inlineStr">
        <is>
          <t>05 集成与工程实施</t>
        </is>
      </c>
      <c r="C19" s="10" t="inlineStr">
        <is>
          <t>差旅与驻场</t>
        </is>
      </c>
      <c r="D19" s="26" t="n"/>
      <c r="E19" s="44" t="n"/>
      <c r="F19" s="44" t="n"/>
      <c r="G19" s="45" t="n">
        <v>15000</v>
      </c>
      <c r="H19" s="12" t="inlineStr">
        <is>
          <t>按 6 次往返估算</t>
        </is>
      </c>
    </row>
    <row r="20" ht="33" customHeight="1">
      <c r="A20" s="13" t="inlineStr">
        <is>
          <t>合计（总投入人天 / 直接成本）</t>
        </is>
      </c>
      <c r="B20" s="14" t="n"/>
      <c r="C20" s="14" t="n"/>
      <c r="D20" s="46">
        <f>SUM(D6:D19)</f>
        <v>118</v>
      </c>
      <c r="E20" s="14" t="n"/>
      <c r="F20" s="47">
        <f>SUM(F6:F19)</f>
        <v>243400</v>
      </c>
      <c r="G20" s="47">
        <f>SUM(G6:G19)</f>
        <v>36000</v>
      </c>
      <c r="H20" s="20" t="inlineStr">
        <is>
          <t>人天仅作成本口径，不作对外定价口径</t>
        </is>
      </c>
    </row>
    <row r="21"/>
    <row r="22" ht="22" customHeight="1">
      <c r="A22" s="6" t="inlineStr">
        <is>
          <t>二、按九科目归集（每科目 = 人力 + 直接成本，再乘分摊与风险）</t>
        </is>
      </c>
    </row>
    <row r="23" ht="33" customHeight="1">
      <c r="A23" s="7" t="inlineStr">
        <is>
          <t>序号</t>
        </is>
      </c>
      <c r="B23" s="7" t="inlineStr">
        <is>
          <t>成本科目</t>
        </is>
      </c>
      <c r="C23" s="7" t="inlineStr">
        <is>
          <t>人力成本（元）</t>
        </is>
      </c>
      <c r="D23" s="7" t="inlineStr">
        <is>
          <t>直接成本（元）</t>
        </is>
      </c>
      <c r="E23" s="7" t="inlineStr">
        <is>
          <t>小计（元）</t>
        </is>
      </c>
      <c r="F23" s="7" t="inlineStr">
        <is>
          <t>分摊与风险（元）</t>
        </is>
      </c>
      <c r="G23" s="7" t="inlineStr">
        <is>
          <t>科目全成本（元）</t>
        </is>
      </c>
      <c r="H23" s="7" t="inlineStr">
        <is>
          <t>备注</t>
        </is>
      </c>
    </row>
    <row r="24" ht="18.5" customHeight="1">
      <c r="A24" s="8" t="n">
        <v>1</v>
      </c>
      <c r="B24" s="10" t="inlineStr">
        <is>
          <t>01 售前与机会成本</t>
        </is>
      </c>
      <c r="C24" s="11">
        <f>SUMIF($B$6:$B$19,$B24,$F$6:$F$19)</f>
        <v>20000</v>
      </c>
      <c r="D24" s="11">
        <f>SUMIF($B$6:$B$19,$B24,$G$6:$G$19)</f>
        <v>0</v>
      </c>
      <c r="E24" s="11">
        <f>$C24+$D24</f>
        <v>20000</v>
      </c>
      <c r="F24" s="11">
        <f>IF($E24="","",$E24*(1+'参数'!$B$6)*(1+'参数'!$B$7)-$E24)</f>
        <v>6432</v>
      </c>
      <c r="G24" s="35">
        <f>IF($E24="","",$E24+$F24)</f>
        <v>26432</v>
      </c>
      <c r="H24" s="12" t="inlineStr">
        <is>
          <t>含未中标成本，最易漏记</t>
        </is>
      </c>
    </row>
    <row r="25" ht="18.5" customHeight="1">
      <c r="A25" s="8" t="n">
        <v>2</v>
      </c>
      <c r="B25" s="10" t="inlineStr">
        <is>
          <t>02 诊断与场景梳理</t>
        </is>
      </c>
      <c r="C25" s="11">
        <f>SUMIF($B$6:$B$19,$B25,$F$6:$F$19)</f>
        <v>24000</v>
      </c>
      <c r="D25" s="11">
        <f>SUMIF($B$6:$B$19,$B25,$G$6:$G$19)</f>
        <v>0</v>
      </c>
      <c r="E25" s="11">
        <f>$C25+$D25</f>
        <v>24000</v>
      </c>
      <c r="F25" s="11">
        <f>IF($E25="","",$E25*(1+'参数'!$B$6)*(1+'参数'!$B$7)-$E25)</f>
        <v>7718.4</v>
      </c>
      <c r="G25" s="35">
        <f>IF($E25="","",$E25+$F25)</f>
        <v>31718.4</v>
      </c>
      <c r="H25" s="12" t="inlineStr">
        <is>
          <t>核心工时，最难被认可价值</t>
        </is>
      </c>
    </row>
    <row r="26" ht="18.5" customHeight="1">
      <c r="A26" s="8" t="n">
        <v>3</v>
      </c>
      <c r="B26" s="10" t="inlineStr">
        <is>
          <t>03 方案与架构设计</t>
        </is>
      </c>
      <c r="C26" s="11">
        <f>SUMIF($B$6:$B$19,$B26,$F$6:$F$19)</f>
        <v>30000</v>
      </c>
      <c r="D26" s="11">
        <f>SUMIF($B$6:$B$19,$B26,$G$6:$G$19)</f>
        <v>0</v>
      </c>
      <c r="E26" s="11">
        <f>$C26+$D26</f>
        <v>30000</v>
      </c>
      <c r="F26" s="11">
        <f>IF($E26="","",$E26*(1+'参数'!$B$6)*(1+'参数'!$B$7)-$E26)</f>
        <v>9648</v>
      </c>
      <c r="G26" s="35">
        <f>IF($E26="","",$E26+$F26)</f>
        <v>39648</v>
      </c>
      <c r="H26" s="12" t="inlineStr">
        <is>
          <t>验收标准的源头</t>
        </is>
      </c>
    </row>
    <row r="27" ht="18.5" customHeight="1">
      <c r="A27" s="8" t="n">
        <v>4</v>
      </c>
      <c r="B27" s="10" t="inlineStr">
        <is>
          <t>04 数据与知识资产建设</t>
        </is>
      </c>
      <c r="C27" s="11">
        <f>SUMIF($B$6:$B$19,$B27,$F$6:$F$19)</f>
        <v>49400</v>
      </c>
      <c r="D27" s="11">
        <f>SUMIF($B$6:$B$19,$B27,$G$6:$G$19)</f>
        <v>0</v>
      </c>
      <c r="E27" s="11">
        <f>$C27+$D27</f>
        <v>49400</v>
      </c>
      <c r="F27" s="11">
        <f>IF($E27="","",$E27*(1+'参数'!$B$6)*(1+'参数'!$B$7)-$E27)</f>
        <v>15887.04</v>
      </c>
      <c r="G27" s="35">
        <f>IF($E27="","",$E27+$F27)</f>
        <v>65287.04</v>
      </c>
      <c r="H27" s="12" t="inlineStr">
        <is>
          <t>波动最大，Token 空转的真正源头</t>
        </is>
      </c>
    </row>
    <row r="28" ht="18.5" customHeight="1">
      <c r="A28" s="8" t="n">
        <v>5</v>
      </c>
      <c r="B28" s="10" t="inlineStr">
        <is>
          <t>05 集成与工程实施</t>
        </is>
      </c>
      <c r="C28" s="11">
        <f>SUMIF($B$6:$B$19,$B28,$F$6:$F$19)</f>
        <v>67200</v>
      </c>
      <c r="D28" s="11">
        <f>SUMIF($B$6:$B$19,$B28,$G$6:$G$19)</f>
        <v>15000</v>
      </c>
      <c r="E28" s="11">
        <f>$C28+$D28</f>
        <v>82200</v>
      </c>
      <c r="F28" s="11">
        <f>IF($E28="","",$E28*(1+'参数'!$B$6)*(1+'参数'!$B$7)-$E28)</f>
        <v>26435.52</v>
      </c>
      <c r="G28" s="35">
        <f>IF($E28="","",$E28+$F28)</f>
        <v>108635.52</v>
      </c>
      <c r="H28" s="12" t="inlineStr">
        <is>
          <t>老系统对接成本最高</t>
        </is>
      </c>
    </row>
    <row r="29" ht="18.5" customHeight="1">
      <c r="A29" s="8" t="n">
        <v>6</v>
      </c>
      <c r="B29" s="10" t="inlineStr">
        <is>
          <t>06 评测与安全合规</t>
        </is>
      </c>
      <c r="C29" s="11">
        <f>SUMIF($B$6:$B$19,$B29,$F$6:$F$19)</f>
        <v>24000</v>
      </c>
      <c r="D29" s="11">
        <f>SUMIF($B$6:$B$19,$B29,$G$6:$G$19)</f>
        <v>0</v>
      </c>
      <c r="E29" s="11">
        <f>$C29+$D29</f>
        <v>24000</v>
      </c>
      <c r="F29" s="11">
        <f>IF($E29="","",$E29*(1+'参数'!$B$6)*(1+'参数'!$B$7)-$E29)</f>
        <v>7718.4</v>
      </c>
      <c r="G29" s="35">
        <f>IF($E29="","",$E29+$F29)</f>
        <v>31718.4</v>
      </c>
      <c r="H29" s="12" t="inlineStr">
        <is>
          <t>不可删项，事故成本更高</t>
        </is>
      </c>
    </row>
    <row r="30" ht="18.5" customHeight="1">
      <c r="A30" s="8" t="n">
        <v>7</v>
      </c>
      <c r="B30" s="10" t="inlineStr">
        <is>
          <t>07 算力与模型调用</t>
        </is>
      </c>
      <c r="C30" s="11">
        <f>SUMIF($B$6:$B$19,$B30,$F$6:$F$19)</f>
        <v>0</v>
      </c>
      <c r="D30" s="11">
        <f>SUMIF($B$6:$B$19,$B30,$G$6:$G$19)</f>
        <v>21000</v>
      </c>
      <c r="E30" s="11">
        <f>$C30+$D30</f>
        <v>21000</v>
      </c>
      <c r="F30" s="11">
        <f>IF($E30="","",$E30*(1+'参数'!$B$6)*(1+'参数'!$B$7)-$E30)</f>
        <v>6753.6</v>
      </c>
      <c r="G30" s="35">
        <f>IF($E30="","",$E30+$F30)</f>
        <v>27753.6</v>
      </c>
      <c r="H30" s="12" t="inlineStr">
        <is>
          <t>按量预留，须设封顶</t>
        </is>
      </c>
    </row>
    <row r="31" ht="18.5" customHeight="1">
      <c r="A31" s="8" t="n">
        <v>8</v>
      </c>
      <c r="B31" s="10" t="inlineStr">
        <is>
          <t>08 部署上线与培训</t>
        </is>
      </c>
      <c r="C31" s="11">
        <f>SUMIF($B$6:$B$19,$B31,$F$6:$F$19)</f>
        <v>12800</v>
      </c>
      <c r="D31" s="11">
        <f>SUMIF($B$6:$B$19,$B31,$G$6:$G$19)</f>
        <v>0</v>
      </c>
      <c r="E31" s="11">
        <f>$C31+$D31</f>
        <v>12800</v>
      </c>
      <c r="F31" s="11">
        <f>IF($E31="","",$E31*(1+'参数'!$B$6)*(1+'参数'!$B$7)-$E31)</f>
        <v>4116.48</v>
      </c>
      <c r="G31" s="35">
        <f>IF($E31="","",$E31+$F31)</f>
        <v>16916.48</v>
      </c>
      <c r="H31" s="12" t="inlineStr">
        <is>
          <t>客户方适应成本在此</t>
        </is>
      </c>
    </row>
    <row r="32" ht="18.5" customHeight="1">
      <c r="A32" s="8" t="n">
        <v>9</v>
      </c>
      <c r="B32" s="10" t="inlineStr">
        <is>
          <t>09 运维与持续优化</t>
        </is>
      </c>
      <c r="C32" s="11">
        <f>SUMIF($B$6:$B$19,$B32,$F$6:$F$19)</f>
        <v>16000</v>
      </c>
      <c r="D32" s="11">
        <f>SUMIF($B$6:$B$19,$B32,$G$6:$G$19)</f>
        <v>0</v>
      </c>
      <c r="E32" s="11">
        <f>$C32+$D32</f>
        <v>16000</v>
      </c>
      <c r="F32" s="11">
        <f>IF($E32="","",$E32*(1+'参数'!$B$6)*(1+'参数'!$B$7)-$E32)</f>
        <v>5145.6</v>
      </c>
      <c r="G32" s="35">
        <f>IF($E32="","",$E32+$F32)</f>
        <v>21145.6</v>
      </c>
      <c r="H32" s="12" t="inlineStr">
        <is>
          <t>从一次性收入走向持续收入</t>
        </is>
      </c>
    </row>
    <row r="33" ht="18.5" customHeight="1">
      <c r="A33" s="13" t="inlineStr">
        <is>
          <t>合计</t>
        </is>
      </c>
      <c r="B33" s="14" t="n"/>
      <c r="C33" s="47">
        <f>SUM(C24:C32)</f>
        <v>243400</v>
      </c>
      <c r="D33" s="47">
        <f>SUM(D24:D32)</f>
        <v>36000</v>
      </c>
      <c r="E33" s="47">
        <f>SUM(E24:E32)</f>
        <v>279400</v>
      </c>
      <c r="F33" s="47">
        <f>SUM(F24:F32)</f>
        <v>89855.04</v>
      </c>
      <c r="G33" s="47">
        <f>SUM(G24:G32)</f>
        <v>369255.04</v>
      </c>
      <c r="H33" s="20" t="inlineStr">
        <is>
          <t>应等于下方④全成本</t>
        </is>
      </c>
    </row>
    <row r="34">
      <c r="A34" s="48" t="str">
        <f>IF(ROUND($G$33-$D$41,2)=0,"✓ 校验通过：科目归集合计 = 推导全成本","✗ 不一致，请检查第 6:19 行科目名是否拼写一致")</f>
        <v>✓ 校验通过：科目归集合计 = 推导全成本</v>
      </c>
    </row>
    <row r="35"/>
    <row r="36" ht="22" customHeight="1">
      <c r="A36" s="6" t="inlineStr">
        <is>
          <t>三、全成本与报价推导（口径链：工时 → 直接成本 → 分摊与风险 → 报价）</t>
        </is>
      </c>
    </row>
    <row r="37" ht="24" customHeight="1">
      <c r="A37" s="26" t="n"/>
      <c r="B37" s="7" t="inlineStr">
        <is>
          <t>步骤</t>
        </is>
      </c>
      <c r="C37" s="7" t="inlineStr">
        <is>
          <t>计算式</t>
        </is>
      </c>
      <c r="D37" s="7" t="inlineStr">
        <is>
          <t>金额（元）</t>
        </is>
      </c>
      <c r="E37" s="7" t="inlineStr">
        <is>
          <t>说明</t>
        </is>
      </c>
      <c r="F37" s="26" t="n"/>
      <c r="G37" s="26" t="n"/>
      <c r="H37" s="26" t="n"/>
    </row>
    <row r="38" ht="33" customHeight="1">
      <c r="A38" s="49" t="inlineStr">
        <is>
          <t>①</t>
        </is>
      </c>
      <c r="B38" s="50" t="inlineStr">
        <is>
          <t>直接成本合计</t>
        </is>
      </c>
      <c r="C38" s="51" t="inlineStr">
        <is>
          <t>Σ(人天 × 成本单价) + 算力/第三方 + 差旅驻场</t>
        </is>
      </c>
      <c r="D38" s="52">
        <f>F20+G20</f>
        <v>279400</v>
      </c>
      <c r="E38" s="51" t="inlineStr">
        <is>
          <t>人力与直接成本都在这，未加任何系数</t>
        </is>
      </c>
      <c r="F38" s="26" t="n"/>
      <c r="G38" s="26" t="n"/>
      <c r="H38" s="26" t="n"/>
    </row>
    <row r="39" ht="18.5" customHeight="1">
      <c r="A39" s="49" t="inlineStr">
        <is>
          <t>②</t>
        </is>
      </c>
      <c r="B39" s="50" t="inlineStr">
        <is>
          <t>管理分摊</t>
        </is>
      </c>
      <c r="C39" s="51" t="inlineStr">
        <is>
          <t>① × 管理分摊率</t>
        </is>
      </c>
      <c r="D39" s="52">
        <f>D38*'参数'!$B$6</f>
        <v>50292</v>
      </c>
      <c r="E39" s="51" t="inlineStr">
        <is>
          <t>销售、行政、房租、设备：不摊进去等于自己扛</t>
        </is>
      </c>
      <c r="F39" s="26" t="n"/>
      <c r="G39" s="26" t="n"/>
      <c r="H39" s="26" t="n"/>
    </row>
    <row r="40" ht="18.5" customHeight="1">
      <c r="A40" s="49" t="inlineStr">
        <is>
          <t>③</t>
        </is>
      </c>
      <c r="B40" s="50" t="inlineStr">
        <is>
          <t>风险准备</t>
        </is>
      </c>
      <c r="C40" s="51" t="inlineStr">
        <is>
          <t>(① + ②) × 风险准备率</t>
        </is>
      </c>
      <c r="D40" s="52">
        <f>(D38+D39)*'参数'!$B$7</f>
        <v>39563.04</v>
      </c>
      <c r="E40" s="51" t="inlineStr">
        <is>
          <t>需求变更、跨期、验收争议的缓冲</t>
        </is>
      </c>
      <c r="F40" s="26" t="n"/>
      <c r="G40" s="26" t="n"/>
      <c r="H40" s="26" t="n"/>
    </row>
    <row r="41" ht="18.5" customHeight="1">
      <c r="A41" s="49" t="inlineStr">
        <is>
          <t>④</t>
        </is>
      </c>
      <c r="B41" s="53" t="inlineStr">
        <is>
          <t>全成本</t>
        </is>
      </c>
      <c r="C41" s="51" t="inlineStr">
        <is>
          <t>① + ② + ③</t>
        </is>
      </c>
      <c r="D41" s="54">
        <f>SUM(D38:D40)</f>
        <v>369255.04</v>
      </c>
      <c r="E41" s="51" t="inlineStr">
        <is>
          <t>真正的成本线，低于此价即为亏损项目</t>
        </is>
      </c>
      <c r="F41" s="26" t="n"/>
      <c r="G41" s="26" t="n"/>
      <c r="H41" s="26" t="n"/>
    </row>
    <row r="42" ht="33" customHeight="1">
      <c r="A42" s="49" t="inlineStr">
        <is>
          <t>⑤</t>
        </is>
      </c>
      <c r="B42" s="53" t="inlineStr">
        <is>
          <t>基础费（对客）</t>
        </is>
      </c>
      <c r="C42" s="51" t="inlineStr">
        <is>
          <t>④ ÷ (1 − 基础费保底毛利率)</t>
        </is>
      </c>
      <c r="D42" s="54">
        <f>D41/(1-'参数'!$B$9)</f>
        <v>461568.8</v>
      </c>
      <c r="E42" s="51" t="inlineStr">
        <is>
          <t>效果全未达时也能保住的底价</t>
        </is>
      </c>
      <c r="F42" s="26" t="n"/>
      <c r="G42" s="26" t="n"/>
      <c r="H42" s="26" t="n"/>
    </row>
    <row r="43" ht="18.5" customHeight="1">
      <c r="A43" s="49" t="inlineStr">
        <is>
          <t>⑥</t>
        </is>
      </c>
      <c r="B43" s="53" t="inlineStr">
        <is>
          <t>目标总报价</t>
        </is>
      </c>
      <c r="C43" s="51" t="inlineStr">
        <is>
          <t>④ ÷ (1 − 目标毛利率)</t>
        </is>
      </c>
      <c r="D43" s="54">
        <f>D41/(1-'参数'!$B$8)</f>
        <v>615425.0667</v>
      </c>
      <c r="E43" s="51" t="inlineStr">
        <is>
          <t>浮动拿满时的合同总额</t>
        </is>
      </c>
      <c r="F43" s="26" t="n"/>
      <c r="G43" s="26" t="n"/>
      <c r="H43" s="26" t="n"/>
    </row>
    <row r="44" ht="18.5" customHeight="1">
      <c r="A44" s="49" t="inlineStr">
        <is>
          <t>⑦</t>
        </is>
      </c>
      <c r="B44" s="53" t="inlineStr">
        <is>
          <t>效果浮动上限</t>
        </is>
      </c>
      <c r="C44" s="51" t="inlineStr">
        <is>
          <t>⑥ − ⑤</t>
        </is>
      </c>
      <c r="D44" s="54">
        <f>D43-D42</f>
        <v>153856.2667</v>
      </c>
      <c r="E44" s="51" t="inlineStr">
        <is>
          <t>结果红利的池子，须写进合同附件</t>
        </is>
      </c>
      <c r="F44" s="26" t="n"/>
      <c r="G44" s="26" t="n"/>
      <c r="H44" s="26" t="n"/>
    </row>
    <row r="45" ht="18.5" customHeight="1">
      <c r="A45" s="49" t="inlineStr">
        <is>
          <t>⑧</t>
        </is>
      </c>
      <c r="B45" s="50" t="inlineStr">
        <is>
          <t>校验：基础费毛利率</t>
        </is>
      </c>
      <c r="C45" s="51" t="inlineStr">
        <is>
          <t>(⑤ − ④) ÷ ⑤</t>
        </is>
      </c>
      <c r="D45" s="55">
        <f>IF($D$42=0,"",($D$42-$D$41)/$D$42)</f>
        <v>0.2</v>
      </c>
      <c r="E45" s="51" t="inlineStr">
        <is>
          <t>应等于参数页的保底毛利率</t>
        </is>
      </c>
      <c r="F45" s="26" t="n"/>
      <c r="G45" s="26" t="n"/>
      <c r="H45" s="26" t="n"/>
    </row>
    <row r="46" ht="18.5" customHeight="1">
      <c r="A46" s="49" t="inlineStr">
        <is>
          <t>⑨</t>
        </is>
      </c>
      <c r="B46" s="50" t="inlineStr">
        <is>
          <t>校验：浮动拿满毛利率</t>
        </is>
      </c>
      <c r="C46" s="51" t="inlineStr">
        <is>
          <t>(⑥ − ④) ÷ ⑥</t>
        </is>
      </c>
      <c r="D46" s="55">
        <f>IF($D$43=0,"",($D$43-$D$41)/$D$43)</f>
        <v>0.4</v>
      </c>
      <c r="E46" s="51" t="inlineStr">
        <is>
          <t>应等于参数页的目标毛利率</t>
        </is>
      </c>
      <c r="F46" s="26" t="n"/>
      <c r="G46" s="26" t="n"/>
      <c r="H46" s="26" t="n"/>
    </row>
    <row r="47" ht="18.5" customHeight="1">
      <c r="A47" s="49" t="inlineStr">
        <is>
          <t>⑩</t>
        </is>
      </c>
      <c r="B47" s="50" t="inlineStr">
        <is>
          <t>浮动占合同额比例</t>
        </is>
      </c>
      <c r="C47" s="51" t="inlineStr">
        <is>
          <t>⑦ ÷ ⑥</t>
        </is>
      </c>
      <c r="D47" s="55">
        <f>IF($D$43=0,"",$D$44/$D$43)</f>
        <v>0.25</v>
      </c>
      <c r="E47" s="51" t="inlineStr">
        <is>
          <t>常规区间 20%~30%，过高客户会压基础费</t>
        </is>
      </c>
      <c r="F47" s="26" t="n"/>
      <c r="G47" s="26" t="n"/>
      <c r="H47" s="26" t="n"/>
    </row>
    <row r="48"/>
    <row r="49" ht="30" customHeight="1">
      <c r="A49" s="38" t="inlineStr">
        <is>
          <t>用法：改「参数」页的三个比率 → 改本页第 6:19 行的人天与直接成本 → 报价单与浮动页自动重算。对外只给「报价单」，本页不外发。</t>
        </is>
      </c>
    </row>
  </sheetData>
  <mergeCells count="20">
    <mergeCell ref="E45:H45"/>
    <mergeCell ref="A36:H36"/>
    <mergeCell ref="A49:H49"/>
    <mergeCell ref="E41:H41"/>
    <mergeCell ref="A1:H1"/>
    <mergeCell ref="E37:H37"/>
    <mergeCell ref="E47:H47"/>
    <mergeCell ref="E43:H43"/>
    <mergeCell ref="A20:C20"/>
    <mergeCell ref="E42:H42"/>
    <mergeCell ref="E39:H39"/>
    <mergeCell ref="A33:B33"/>
    <mergeCell ref="A2:H2"/>
    <mergeCell ref="E38:H38"/>
    <mergeCell ref="E44:H44"/>
    <mergeCell ref="A22:H22"/>
    <mergeCell ref="A4:H4"/>
    <mergeCell ref="E40:H40"/>
    <mergeCell ref="E46:H46"/>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AI 智能体落地交付项目报价单（基础费+效果浮动）</dc:title>
  <dcterms:created xmlns:dcterms="http://purl.org/dc/terms/" xmlns:xsi="http://www.w3.org/2001/XMLSchema-instance" xsi:type="dcterms:W3CDTF">2026-10-23T03:04:03Z</dcterms:created>
  <dcterms:modified xmlns:dcterms="http://purl.org/dc/terms/" xmlns:xsi="http://www.w3.org/2001/XMLSchema-instance" xsi:type="dcterms:W3CDTF">2026-10-23T03:04:03Z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{"Label":"1","ContentProducer":"00119111010856365494821B355","ProduceID":"6e00d4731c854e088a4531f7450ead4a","ContentPropagator":"00119111010856365494821B355","PropagateID":"6e00d4731c854e088a4531f7450ead4a"}</vt:lpwstr>
  </property>
</Properties>
</file>